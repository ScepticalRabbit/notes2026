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threadedComments/threadedComment4.xml" ContentType="application/vnd.ms-excel.threadedcomments+xml"/>
  <Override PartName="/xl/styles.xml" ContentType="application/vnd.openxmlformats-officedocument.spreadsheetml.styles+xml"/>
  <Override PartName="/xl/persons/person.xml" ContentType="application/vnd.ms-excel.perso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5.xml" ContentType="application/vnd.openxmlformats-officedocument.spreadsheetml.worksheet+xml"/>
  <Override PartName="/xl/threadedComments/threadedComment2.xml" ContentType="application/vnd.ms-excel.threadedcomment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Rates" sheetId="1" state="visible" r:id="rId6"/>
    <sheet name="June 26 - UKAEA" sheetId="2" state="hidden" r:id="rId7"/>
    <sheet name="UKAEA" sheetId="3" state="visible" r:id="rId8"/>
    <sheet name="June  26 - UKRI" sheetId="4" state="hidden" r:id="rId9"/>
    <sheet name="UKRI" sheetId="5" state="visible" r:id="rId1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tc={C468B729-1142-459E-A4F4-DA8E06862930}</author>
  </authors>
  <commentList>
    <comment ref="AD14" authorId="0" xr:uid="{C468B729-1142-459E-A4F4-DA8E06862930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Amend with each update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tc={2D13D56B-EA9B-4AE5-8EC2-CEF13A37B24C}</author>
  </authors>
  <commentList>
    <comment ref="AH14" authorId="0" xr:uid="{2D13D56B-EA9B-4AE5-8EC2-CEF13A37B24C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Amend with each update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tc={E619E42B-F8B6-4134-A3D6-5789490C4018}</author>
  </authors>
  <commentList>
    <comment ref="D7" authorId="0" xr:uid="{E619E42B-F8B6-4134-A3D6-5789490C4018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tc={9FB3FA21-711B-4F9D-B9F5-84DD7DA73EF9}</author>
  </authors>
  <commentList>
    <comment ref="D7" authorId="0" xr:uid="{9FB3FA21-711B-4F9D-B9F5-84DD7DA73EF9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sharedStrings.xml><?xml version="1.0" encoding="utf-8"?>
<sst xmlns="http://schemas.openxmlformats.org/spreadsheetml/2006/main" count="193" uniqueCount="193">
  <si>
    <t xml:space="preserve">Project summary</t>
  </si>
  <si>
    <t xml:space="preserve">Approved PJD</t>
  </si>
  <si>
    <t xml:space="preserve">Project Lead</t>
  </si>
  <si>
    <t xml:space="preserve">Project Manager</t>
  </si>
  <si>
    <t xml:space="preserve">Tasha Rockliff</t>
  </si>
  <si>
    <t xml:space="preserve">ProgramArea Manager</t>
  </si>
  <si>
    <t xml:space="preserve">Insert name</t>
  </si>
  <si>
    <t xml:space="preserve">Links to task specifications</t>
  </si>
  <si>
    <t xml:space="preserve">Insert link(s)</t>
  </si>
  <si>
    <t xml:space="preserve">=((D7*'Project Overview'!'Project Overview'!42:42D42)+(E7*'Project Overview'!D23)+(F7*'Project Overview'!D24))*1.4</t>
  </si>
  <si>
    <t xml:space="preserve">Total person resource hours</t>
  </si>
  <si>
    <t xml:space="preserve">Total capital spend</t>
  </si>
  <si>
    <t>Cost.cat</t>
  </si>
  <si>
    <t>FY25/26</t>
  </si>
  <si>
    <t>FY26/27</t>
  </si>
  <si>
    <t>FY27/28</t>
  </si>
  <si>
    <t>FY28/29</t>
  </si>
  <si>
    <t xml:space="preserve">Overhead Rate</t>
  </si>
  <si>
    <t>UKA1</t>
  </si>
  <si>
    <t>UKA2</t>
  </si>
  <si>
    <t>UKL1</t>
  </si>
  <si>
    <t>UKL2</t>
  </si>
  <si>
    <t>UKL3</t>
  </si>
  <si>
    <t>UKL4</t>
  </si>
  <si>
    <t>UKL5</t>
  </si>
  <si>
    <t>UKL6</t>
  </si>
  <si>
    <t>UKL7</t>
  </si>
  <si>
    <t xml:space="preserve">Estimate F and H as halfway between grades</t>
  </si>
  <si>
    <t>UKL8</t>
  </si>
  <si>
    <t xml:space="preserve"> </t>
  </si>
  <si>
    <t>26/27</t>
  </si>
  <si>
    <t>UKM3</t>
  </si>
  <si>
    <t>UKAXF</t>
  </si>
  <si>
    <t>I22</t>
  </si>
  <si>
    <t>UKM4</t>
  </si>
  <si>
    <t>UKAXH</t>
  </si>
  <si>
    <t>I23</t>
  </si>
  <si>
    <t>UKM5</t>
  </si>
  <si>
    <t>UKM6</t>
  </si>
  <si>
    <t xml:space="preserve">Year In Industry</t>
  </si>
  <si>
    <t>UKM7</t>
  </si>
  <si>
    <t xml:space="preserve">Year in Industry = 23,810</t>
  </si>
  <si>
    <t>UKMS</t>
  </si>
  <si>
    <t>UKS3</t>
  </si>
  <si>
    <t>UKS4</t>
  </si>
  <si>
    <t>UKT1</t>
  </si>
  <si>
    <t>RU01</t>
  </si>
  <si>
    <t>RU02</t>
  </si>
  <si>
    <t>RU03</t>
  </si>
  <si>
    <t>RU04</t>
  </si>
  <si>
    <t>RU05</t>
  </si>
  <si>
    <t>RU06</t>
  </si>
  <si>
    <t>RU07</t>
  </si>
  <si>
    <t>RU08</t>
  </si>
  <si>
    <t>RU09</t>
  </si>
  <si>
    <t>RU10</t>
  </si>
  <si>
    <t>RU11</t>
  </si>
  <si>
    <t>RU12</t>
  </si>
  <si>
    <t>RU13</t>
  </si>
  <si>
    <t>RU14</t>
  </si>
  <si>
    <t>RU15</t>
  </si>
  <si>
    <t>RU16</t>
  </si>
  <si>
    <t>RU17</t>
  </si>
  <si>
    <t>RU18</t>
  </si>
  <si>
    <t>RU19</t>
  </si>
  <si>
    <t>RU20</t>
  </si>
  <si>
    <t>RU23</t>
  </si>
  <si>
    <t>RU24</t>
  </si>
  <si>
    <t>RU25</t>
  </si>
  <si>
    <t>RU26</t>
  </si>
  <si>
    <t>RU27</t>
  </si>
  <si>
    <t>RU28</t>
  </si>
  <si>
    <t>RU29</t>
  </si>
  <si>
    <t>RU30</t>
  </si>
  <si>
    <t>RU31</t>
  </si>
  <si>
    <t>RU32</t>
  </si>
  <si>
    <t>UNI2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</si>
  <si>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</si>
  <si>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</si>
  <si>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</si>
  <si>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</si>
  <si>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</si>
  <si>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</si>
  <si>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</si>
  <si>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</si>
  <si>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</si>
  <si>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</si>
  <si>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</si>
  <si>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</si>
  <si>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</si>
  <si>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</si>
  <si>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</si>
  <si>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</si>
  <si>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</si>
  <si>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</si>
  <si>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</si>
  <si>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</si>
  <si>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</si>
  <si>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</si>
  <si>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</si>
  <si>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</si>
  <si>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</si>
  <si>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</si>
  <si>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 xml:space="preserve">Project Dashboard- WON 13875-1000</t>
  </si>
  <si>
    <t>Month</t>
  </si>
  <si>
    <t xml:space="preserve">Forecasted Hours</t>
  </si>
  <si>
    <t xml:space="preserve">Forcasted Spend</t>
  </si>
  <si>
    <t xml:space="preserve">Annual Budget</t>
  </si>
  <si>
    <t xml:space="preserve">Actual Spend</t>
  </si>
  <si>
    <t xml:space="preserve">Total Project Cost - Overview</t>
  </si>
  <si>
    <t xml:space="preserve">Lloyd Fletcher</t>
  </si>
  <si>
    <t xml:space="preserve">Joel Hirst</t>
  </si>
  <si>
    <t xml:space="preserve">Wiera Bielajewa</t>
  </si>
  <si>
    <t xml:space="preserve">Christopher Dawson</t>
  </si>
  <si>
    <t xml:space="preserve">Adel Tayeb</t>
  </si>
  <si>
    <t xml:space="preserve">Nell Morris</t>
  </si>
  <si>
    <t xml:space="preserve">Rory Spencer</t>
  </si>
  <si>
    <t xml:space="preserve">Megan Sampson</t>
  </si>
  <si>
    <t xml:space="preserve">Alexander Marsh</t>
  </si>
  <si>
    <t xml:space="preserve">John Charlton</t>
  </si>
  <si>
    <t xml:space="preserve">FC - Total</t>
  </si>
  <si>
    <t xml:space="preserve">Rushavya Naidu</t>
  </si>
  <si>
    <t xml:space="preserve">Lucas Pigott</t>
  </si>
  <si>
    <t xml:space="preserve">Student 1</t>
  </si>
  <si>
    <t xml:space="preserve">Student 2</t>
  </si>
  <si>
    <t xml:space="preserve">Total PhD Cost</t>
  </si>
  <si>
    <t>Travel</t>
  </si>
  <si>
    <t xml:space="preserve">External Spend</t>
  </si>
  <si>
    <t xml:space="preserve">UKAEA Resource Spend ONLY</t>
  </si>
  <si>
    <t xml:space="preserve">UKAEA Forecast Spend</t>
  </si>
  <si>
    <t xml:space="preserve">UKAEA Annual Budget </t>
  </si>
  <si>
    <t xml:space="preserve">Variance from Budget</t>
  </si>
  <si>
    <t xml:space="preserve">Actual Spend to date</t>
  </si>
  <si>
    <t>Grade</t>
  </si>
  <si>
    <t>UKAXI</t>
  </si>
  <si>
    <t>UKAXE</t>
  </si>
  <si>
    <t>UKAXG</t>
  </si>
  <si>
    <t xml:space="preserve">PhD Student</t>
  </si>
  <si>
    <t>FTE</t>
  </si>
  <si>
    <t>FY24/25</t>
  </si>
  <si>
    <t xml:space="preserve">Project Budget </t>
  </si>
  <si>
    <t xml:space="preserve">Forecast Cost at Completion </t>
  </si>
  <si>
    <t>FAC</t>
  </si>
  <si>
    <t xml:space="preserve">Rob Hamill</t>
  </si>
  <si>
    <t>Graduates</t>
  </si>
  <si>
    <t xml:space="preserve">Year in Industry</t>
  </si>
  <si>
    <t>-</t>
  </si>
  <si>
    <t xml:space="preserve">Starts Dec 2026</t>
  </si>
  <si>
    <t xml:space="preserve">Resigns end July 2026</t>
  </si>
  <si>
    <t xml:space="preserve">All external spend is on PhDs - no other external spend</t>
  </si>
  <si>
    <t xml:space="preserve">Project Dashboard- WON 12570-1022 - UKRI</t>
  </si>
  <si>
    <t xml:space="preserve">External Forecast</t>
  </si>
  <si>
    <t xml:space="preserve">UKRI Cost - Overview</t>
  </si>
  <si>
    <t xml:space="preserve">Jonathan Horne-Jones</t>
  </si>
  <si>
    <t xml:space="preserve">Graduate (TBC)</t>
  </si>
  <si>
    <t xml:space="preserve">FC Hours - Total</t>
  </si>
  <si>
    <t xml:space="preserve">UKRI Forecast Spend (80% +All expenses)</t>
  </si>
  <si>
    <t xml:space="preserve">UKAEA Shortfall (20%)
£401,349 Budget</t>
  </si>
  <si>
    <t xml:space="preserve">Total Spend to date - UKRI ONLY</t>
  </si>
  <si>
    <t xml:space="preserve">Grant Contribution Budget </t>
  </si>
  <si>
    <t>Variance</t>
  </si>
  <si>
    <t xml:space="preserve">Graduates x2 (TBC)</t>
  </si>
  <si>
    <t xml:space="preserve">Year In Industry Students</t>
  </si>
  <si>
    <t xml:space="preserve">Kiyana Patel</t>
  </si>
  <si>
    <t xml:space="preserve">James Panayis</t>
  </si>
  <si>
    <t>N/A</t>
  </si>
  <si>
    <t xml:space="preserve">FY 26/27</t>
  </si>
  <si>
    <t xml:space="preserve">Fixed Issues Reducing Variance</t>
  </si>
  <si>
    <t>J25</t>
  </si>
  <si>
    <t xml:space="preserve">Last year of UKRI FLF is until end of Aug so 5 months, not 3 months - fixing this drastically reduced variance</t>
  </si>
  <si>
    <t>J22</t>
  </si>
  <si>
    <t xml:space="preserve">Intermediate grades costed lower: UKAXF costed at UKM4 rate, fixed to be halfway between for UKAXF and UKAXH</t>
  </si>
  <si>
    <t>J23</t>
  </si>
  <si>
    <t xml:space="preserve">Year in industry students not costed for</t>
  </si>
  <si>
    <t xml:space="preserve">Updated based on new information</t>
  </si>
  <si>
    <t>E16</t>
  </si>
  <si>
    <t xml:space="preserve">Adel -&gt; H after appeal</t>
  </si>
  <si>
    <t>E22</t>
  </si>
  <si>
    <t xml:space="preserve">Alex's resignation date and Rob's starting date accounted for on UKAEA sheet</t>
  </si>
  <si>
    <t>E23</t>
  </si>
  <si>
    <t xml:space="preserve">Adjusted travel and external spend costs based on FY 25/26 actual expenditure</t>
  </si>
  <si>
    <t>E24</t>
  </si>
  <si>
    <t xml:space="preserve">No external spend other than PhDs on UKAEA code</t>
  </si>
  <si>
    <t>E25</t>
  </si>
  <si>
    <t xml:space="preserve">Promotions for Joel/Wiera corrected based on projected dates</t>
  </si>
  <si>
    <t>E</t>
  </si>
  <si>
    <t>J</t>
  </si>
  <si>
    <t>27/28</t>
  </si>
  <si>
    <t>F</t>
  </si>
  <si>
    <t>K</t>
  </si>
  <si>
    <t>28/29</t>
  </si>
  <si>
    <t>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</si>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</sst>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[$£-809]* #,##0.00_-;\-[$£-809]* #,##0.00_-;_-[$£-809]* &quot;-&quot;??_-;_-@_-"/>
    <numFmt numFmtId="165" formatCode="0.0"/>
    <numFmt numFmtId="166" formatCode="_-&quot;£&quot;* #,##0.00_-;\-&quot;£&quot;* #,##0.00_-;_-&quot;£&quot;* &quot;-&quot;??_-;_-@_-"/>
    <numFmt numFmtId="167" formatCode="&quot;£&quot;#,##0.00;[Red]\-&quot;£&quot;#,##0.00"/>
  </numFmts>
  <fonts count="16">
    <font>
      <sz val="12.000000"/>
      <color theme="1"/>
      <name val="Aptos Narrow"/>
      <scheme val="minor"/>
    </font>
    <font>
      <u/>
      <sz val="12.000000"/>
      <color theme="10"/>
      <name val="Aptos Narrow"/>
      <scheme val="minor"/>
    </font>
    <font>
      <b/>
      <u/>
      <sz val="12.000000"/>
      <color theme="1"/>
      <name val="Aptos Narrow"/>
      <scheme val="minor"/>
    </font>
    <font>
      <b/>
      <sz val="12.000000"/>
      <color theme="1"/>
      <name val="Aptos Narrow"/>
      <scheme val="minor"/>
    </font>
    <font>
      <sz val="12.000000"/>
      <color indexed="2"/>
      <name val="Aptos Narrow"/>
      <scheme val="minor"/>
    </font>
    <font>
      <sz val="10.000000"/>
      <name val="Arial"/>
    </font>
    <font>
      <b/>
      <sz val="11.000000"/>
      <name val="Calibri"/>
    </font>
    <font>
      <b/>
      <sz val="20.000000"/>
      <color theme="1"/>
      <name val="Aptos Narrow"/>
      <scheme val="minor"/>
    </font>
    <font>
      <b/>
      <sz val="10.000000"/>
      <name val="Calibri"/>
    </font>
    <font>
      <sz val="10.000000"/>
      <color theme="1"/>
      <name val="Aptos Narrow"/>
      <scheme val="minor"/>
    </font>
    <font>
      <sz val="12.000000"/>
      <color theme="3" tint="0.499984740745262"/>
      <name val="Aptos Narrow"/>
      <scheme val="minor"/>
    </font>
    <font>
      <sz val="18.000000"/>
      <color theme="1"/>
      <name val="Aptos Narrow"/>
      <scheme val="minor"/>
    </font>
    <font>
      <strike/>
      <sz val="12.000000"/>
      <color theme="1"/>
      <name val="Aptos Narrow"/>
      <scheme val="minor"/>
    </font>
    <font>
      <b/>
      <sz val="16.000000"/>
      <color theme="1"/>
      <name val="Aptos Narrow"/>
      <scheme val="minor"/>
    </font>
    <font>
      <b/>
      <strike/>
      <sz val="12.000000"/>
      <color theme="1"/>
      <name val="Aptos Narrow"/>
      <scheme val="minor"/>
    </font>
    <font>
      <sz val="18.000000"/>
      <color rgb="FF0061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theme="3" tint="0.749992370372631"/>
      </patternFill>
    </fill>
    <fill>
      <patternFill patternType="solid">
        <fgColor theme="0" tint="-0.14999847407452621"/>
      </patternFill>
    </fill>
    <fill>
      <patternFill patternType="solid">
        <fgColor theme="2"/>
      </patternFill>
    </fill>
  </fills>
  <borders count="21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67">
    <xf fontId="0" fillId="0" borderId="0" numFmtId="0" xfId="0"/>
    <xf fontId="2" fillId="0" borderId="0" numFmtId="0" xfId="0" applyFont="1"/>
    <xf fontId="3" fillId="0" borderId="0" numFmtId="0" xfId="0" applyFont="1"/>
    <xf fontId="1" fillId="0" borderId="0" numFmtId="0" xfId="1" applyFont="1" applyAlignment="1">
      <alignment vertical="center"/>
    </xf>
    <xf fontId="4" fillId="0" borderId="0" numFmtId="0" xfId="0" applyFont="1"/>
    <xf fontId="5" fillId="0" borderId="0" numFmtId="0" xfId="0" applyFont="1" applyAlignment="1">
      <alignment horizontal="center" wrapText="1"/>
    </xf>
    <xf fontId="6" fillId="0" borderId="1" numFmtId="0" xfId="0" applyFont="1" applyBorder="1"/>
    <xf fontId="6" fillId="0" borderId="2" numFmtId="0" xfId="0" applyFont="1" applyBorder="1"/>
    <xf fontId="6" fillId="0" borderId="3" numFmtId="0" xfId="0" applyFont="1" applyBorder="1"/>
    <xf fontId="6" fillId="0" borderId="4" numFmtId="0" xfId="0" applyFont="1" applyBorder="1"/>
    <xf fontId="6" fillId="2" borderId="5" numFmtId="0" xfId="0" applyFont="1" applyFill="1" applyBorder="1"/>
    <xf fontId="6" fillId="2" borderId="6" numFmtId="0" xfId="0" applyFont="1" applyFill="1" applyBorder="1"/>
    <xf fontId="6" fillId="2" borderId="6" numFmtId="2" xfId="0" applyNumberFormat="1" applyFont="1" applyFill="1" applyBorder="1"/>
    <xf fontId="6" fillId="0" borderId="7" numFmtId="0" xfId="0" applyFont="1" applyBorder="1"/>
    <xf fontId="6" fillId="0" borderId="8" numFmtId="0" xfId="0" applyFont="1" applyBorder="1"/>
    <xf fontId="6" fillId="2" borderId="0" numFmtId="2" xfId="0" applyNumberFormat="1" applyFont="1" applyFill="1"/>
    <xf fontId="0" fillId="0" borderId="9" numFmtId="0" xfId="0" applyBorder="1"/>
    <xf fontId="6" fillId="0" borderId="9" numFmtId="0" xfId="0" applyFont="1" applyBorder="1"/>
    <xf fontId="3" fillId="0" borderId="9" numFmtId="0" xfId="0" applyFont="1" applyBorder="1"/>
    <xf fontId="0" fillId="0" borderId="9" numFmtId="0" xfId="0" applyBorder="1">
      <protection hidden="0" locked="1"/>
    </xf>
    <xf fontId="6" fillId="2" borderId="10" numFmtId="0" xfId="0" applyFont="1" applyFill="1" applyBorder="1"/>
    <xf fontId="6" fillId="2" borderId="11" numFmtId="0" xfId="0" applyFont="1" applyFill="1" applyBorder="1"/>
    <xf fontId="6" fillId="2" borderId="11" numFmtId="2" xfId="0" applyNumberFormat="1" applyFont="1" applyFill="1" applyBorder="1"/>
    <xf fontId="6" fillId="3" borderId="5" numFmtId="0" xfId="0" applyFont="1" applyFill="1" applyBorder="1"/>
    <xf fontId="6" fillId="3" borderId="6" numFmtId="0" xfId="0" applyFont="1" applyFill="1" applyBorder="1"/>
    <xf fontId="6" fillId="3" borderId="6" numFmtId="2" xfId="0" applyNumberFormat="1" applyFont="1" applyFill="1" applyBorder="1"/>
    <xf fontId="6" fillId="3" borderId="10" numFmtId="0" xfId="0" applyFont="1" applyFill="1" applyBorder="1"/>
    <xf fontId="6" fillId="3" borderId="11" numFmtId="0" xfId="0" applyFont="1" applyFill="1" applyBorder="1"/>
    <xf fontId="6" fillId="3" borderId="11" numFmtId="2" xfId="0" applyNumberFormat="1" applyFont="1" applyFill="1" applyBorder="1"/>
    <xf fontId="6" fillId="4" borderId="1" numFmtId="0" xfId="0" applyFont="1" applyFill="1" applyBorder="1"/>
    <xf fontId="6" fillId="4" borderId="11" numFmtId="0" xfId="0" applyFont="1" applyFill="1" applyBorder="1"/>
    <xf fontId="6" fillId="4" borderId="11" numFmtId="2" xfId="0" applyNumberFormat="1" applyFont="1" applyFill="1" applyBorder="1"/>
    <xf fontId="6" fillId="5" borderId="5" numFmtId="0" xfId="0" applyFont="1" applyFill="1" applyBorder="1"/>
    <xf fontId="6" fillId="5" borderId="12" numFmtId="0" xfId="0" applyFont="1" applyFill="1" applyBorder="1"/>
    <xf fontId="6" fillId="5" borderId="12" numFmtId="2" xfId="0" applyNumberFormat="1" applyFont="1" applyFill="1" applyBorder="1"/>
    <xf fontId="6" fillId="5" borderId="6" numFmtId="0" xfId="0" applyFont="1" applyFill="1" applyBorder="1"/>
    <xf fontId="6" fillId="5" borderId="6" numFmtId="2" xfId="0" applyNumberFormat="1" applyFont="1" applyFill="1" applyBorder="1"/>
    <xf fontId="6" fillId="5" borderId="10" numFmtId="0" xfId="0" applyFont="1" applyFill="1" applyBorder="1"/>
    <xf fontId="6" fillId="5" borderId="11" numFmtId="0" xfId="0" applyFont="1" applyFill="1" applyBorder="1"/>
    <xf fontId="6" fillId="5" borderId="11" numFmtId="2" xfId="0" applyNumberFormat="1" applyFont="1" applyFill="1" applyBorder="1"/>
    <xf fontId="0" fillId="0" borderId="0" numFmtId="164" xfId="0" applyNumberFormat="1" applyAlignment="1">
      <alignment horizontal="left"/>
    </xf>
    <xf fontId="0" fillId="0" borderId="0" numFmtId="0" xfId="0" applyAlignment="1">
      <alignment wrapText="1"/>
    </xf>
    <xf fontId="7" fillId="6" borderId="13" numFmtId="0" xfId="0" applyFont="1" applyFill="1" applyBorder="1" applyAlignment="1">
      <alignment horizontal="center" vertical="center"/>
    </xf>
    <xf fontId="7" fillId="6" borderId="14" numFmtId="0" xfId="0" applyFont="1" applyFill="1" applyBorder="1" applyAlignment="1">
      <alignment horizontal="center" vertical="center"/>
    </xf>
    <xf fontId="7" fillId="6" borderId="15" numFmtId="0" xfId="0" applyFont="1" applyFill="1" applyBorder="1" applyAlignment="1">
      <alignment horizontal="center" vertical="center"/>
    </xf>
    <xf fontId="7" fillId="6" borderId="16" numFmtId="0" xfId="0" applyFont="1" applyFill="1" applyBorder="1" applyAlignment="1">
      <alignment horizontal="center" vertical="center"/>
    </xf>
    <xf fontId="3" fillId="7" borderId="17" numFmtId="0" xfId="0" applyFont="1" applyFill="1" applyBorder="1" applyAlignment="1">
      <alignment horizontal="center" vertical="center"/>
    </xf>
    <xf fontId="3" fillId="8" borderId="18" numFmtId="0" xfId="0" applyFont="1" applyFill="1" applyBorder="1" applyAlignment="1">
      <alignment horizontal="center"/>
    </xf>
    <xf fontId="3" fillId="8" borderId="19" numFmtId="0" xfId="0" applyFont="1" applyFill="1" applyBorder="1" applyAlignment="1">
      <alignment horizontal="center"/>
    </xf>
    <xf fontId="3" fillId="8" borderId="2" numFmtId="0" xfId="0" applyFont="1" applyFill="1" applyBorder="1" applyAlignment="1">
      <alignment horizontal="center"/>
    </xf>
    <xf fontId="3" fillId="8" borderId="1" numFmtId="0" xfId="0" applyFont="1" applyFill="1" applyBorder="1" applyAlignment="1">
      <alignment horizontal="center" wrapText="1"/>
    </xf>
    <xf fontId="3" fillId="0" borderId="0" numFmtId="0" xfId="0" applyFont="1" applyAlignment="1">
      <alignment horizontal="center"/>
    </xf>
    <xf fontId="3" fillId="0" borderId="13" numFmtId="0" xfId="0" applyFont="1" applyBorder="1" applyAlignment="1">
      <alignment horizontal="center" vertical="center"/>
    </xf>
    <xf fontId="3" fillId="0" borderId="12" numFmtId="0" xfId="0" applyFont="1" applyBorder="1" applyAlignment="1">
      <alignment horizontal="center" vertical="center"/>
    </xf>
    <xf fontId="3" fillId="7" borderId="10" numFmtId="0" xfId="0" applyFont="1" applyFill="1" applyBorder="1" applyAlignment="1">
      <alignment horizontal="center" vertical="center"/>
    </xf>
    <xf fontId="3" fillId="7" borderId="13" numFmtId="0" xfId="0" applyFont="1" applyFill="1" applyBorder="1" applyAlignment="1">
      <alignment horizontal="center" textRotation="90"/>
    </xf>
    <xf fontId="3" fillId="7" borderId="14" numFmtId="0" xfId="0" applyFont="1" applyFill="1" applyBorder="1" applyAlignment="1">
      <alignment horizontal="center" textRotation="90"/>
    </xf>
    <xf fontId="3" fillId="7" borderId="1" numFmtId="0" xfId="0" applyFont="1" applyFill="1" applyBorder="1" applyAlignment="1">
      <alignment horizontal="center" textRotation="90"/>
    </xf>
    <xf fontId="3" fillId="7" borderId="18" numFmtId="0" xfId="0" applyFont="1" applyFill="1" applyBorder="1" applyAlignment="1">
      <alignment horizontal="center" textRotation="90"/>
    </xf>
    <xf fontId="3" fillId="7" borderId="19" numFmtId="0" xfId="0" applyFont="1" applyFill="1" applyBorder="1" applyAlignment="1">
      <alignment horizontal="center" textRotation="90"/>
    </xf>
    <xf fontId="3" fillId="7" borderId="2" numFmtId="0" xfId="0" applyFont="1" applyFill="1" applyBorder="1" applyAlignment="1">
      <alignment horizontal="center" textRotation="90"/>
    </xf>
    <xf fontId="3" fillId="7" borderId="12" numFmtId="0" xfId="0" applyFont="1" applyFill="1" applyBorder="1" applyAlignment="1">
      <alignment horizontal="center" textRotation="90"/>
    </xf>
    <xf fontId="3" fillId="7" borderId="1" numFmtId="0" xfId="0" applyFont="1" applyFill="1" applyBorder="1" applyAlignment="1">
      <alignment horizontal="center" vertical="center" wrapText="1"/>
    </xf>
    <xf fontId="3" fillId="7" borderId="15" numFmtId="164" xfId="0" applyNumberFormat="1" applyFont="1" applyFill="1" applyBorder="1" applyAlignment="1">
      <alignment horizontal="center" vertical="center" wrapText="1"/>
    </xf>
    <xf fontId="3" fillId="7" borderId="1" numFmtId="164" xfId="0" applyNumberFormat="1" applyFont="1" applyFill="1" applyBorder="1" applyAlignment="1">
      <alignment horizontal="center" vertical="center" wrapText="1"/>
    </xf>
    <xf fontId="3" fillId="7" borderId="10" numFmtId="0" xfId="0" applyFont="1" applyFill="1" applyBorder="1" applyAlignment="1">
      <alignment horizontal="center" vertical="center" wrapText="1"/>
    </xf>
    <xf fontId="3" fillId="0" borderId="15" numFmtId="0" xfId="0" applyFont="1" applyBorder="1" applyAlignment="1">
      <alignment horizontal="center" vertical="center"/>
    </xf>
    <xf fontId="3" fillId="0" borderId="11" numFmtId="0" xfId="0" applyFont="1" applyBorder="1" applyAlignment="1">
      <alignment horizontal="center" vertical="center"/>
    </xf>
    <xf fontId="3" fillId="0" borderId="5" numFmtId="0" xfId="0" applyFont="1" applyBorder="1" applyAlignment="1">
      <alignment horizontal="center" vertical="center"/>
    </xf>
    <xf fontId="8" fillId="0" borderId="13" numFmtId="0" xfId="0" applyFont="1" applyBorder="1"/>
    <xf fontId="8" fillId="0" borderId="14" numFmtId="0" xfId="0" applyFont="1" applyBorder="1"/>
    <xf fontId="8" fillId="0" borderId="12" numFmtId="0" xfId="0" applyFont="1" applyBorder="1"/>
    <xf fontId="8" fillId="0" borderId="13" numFmtId="0" xfId="0" applyFont="1" applyBorder="1" applyAlignment="1">
      <alignment horizontal="center"/>
    </xf>
    <xf fontId="8" fillId="0" borderId="14" numFmtId="0" xfId="0" applyFont="1" applyBorder="1" applyAlignment="1">
      <alignment horizontal="center"/>
    </xf>
    <xf fontId="8" fillId="0" borderId="12" numFmtId="0" xfId="0" applyFont="1" applyBorder="1" applyAlignment="1">
      <alignment horizontal="center"/>
    </xf>
    <xf fontId="9" fillId="0" borderId="14" numFmtId="164" xfId="0" applyNumberFormat="1" applyFont="1" applyBorder="1"/>
    <xf fontId="9" fillId="0" borderId="12" numFmtId="164" xfId="0" applyNumberFormat="1" applyFont="1" applyBorder="1"/>
    <xf fontId="3" fillId="0" borderId="17" numFmtId="0" xfId="0" applyFont="1" applyBorder="1" applyAlignment="1">
      <alignment horizontal="center"/>
    </xf>
    <xf fontId="0" fillId="0" borderId="13" numFmtId="164" xfId="0" applyNumberFormat="1" applyBorder="1" applyAlignment="1">
      <alignment horizontal="left"/>
    </xf>
    <xf fontId="0" fillId="0" borderId="20" numFmtId="164" xfId="0" applyNumberFormat="1" applyBorder="1" applyAlignment="1">
      <alignment horizontal="left"/>
    </xf>
    <xf fontId="3" fillId="0" borderId="5" numFmtId="0" xfId="0" applyFont="1" applyBorder="1" applyAlignment="1">
      <alignment horizontal="center" wrapText="1"/>
    </xf>
    <xf fontId="3" fillId="0" borderId="0" numFmtId="0" xfId="0" applyFont="1" applyAlignment="1">
      <alignment horizontal="center" vertical="center"/>
    </xf>
    <xf fontId="8" fillId="0" borderId="20" numFmtId="0" xfId="0" applyFont="1" applyBorder="1"/>
    <xf fontId="8" fillId="0" borderId="0" numFmtId="0" xfId="0" applyFont="1"/>
    <xf fontId="8" fillId="0" borderId="6" numFmtId="0" xfId="0" applyFont="1" applyBorder="1"/>
    <xf fontId="8" fillId="0" borderId="20" numFmtId="0" xfId="0" applyFont="1" applyBorder="1" applyAlignment="1">
      <alignment horizontal="center"/>
    </xf>
    <xf fontId="8" fillId="0" borderId="0" numFmtId="0" xfId="0" applyFont="1" applyAlignment="1">
      <alignment horizontal="center"/>
    </xf>
    <xf fontId="8" fillId="0" borderId="6" numFmtId="0" xfId="0" applyFont="1" applyBorder="1" applyAlignment="1">
      <alignment horizontal="center"/>
    </xf>
    <xf fontId="9" fillId="0" borderId="0" numFmtId="164" xfId="0" applyNumberFormat="1" applyFont="1"/>
    <xf fontId="9" fillId="0" borderId="6" numFmtId="164" xfId="0" applyNumberFormat="1" applyFont="1" applyBorder="1"/>
    <xf fontId="3" fillId="0" borderId="5" numFmtId="0" xfId="0" applyFont="1" applyBorder="1" applyAlignment="1">
      <alignment horizontal="center"/>
    </xf>
    <xf fontId="10" fillId="0" borderId="20" numFmtId="0" xfId="0" applyFont="1" applyBorder="1" applyAlignment="1">
      <alignment horizontal="center"/>
    </xf>
    <xf fontId="10" fillId="0" borderId="0" numFmtId="0" xfId="0" applyFont="1" applyAlignment="1">
      <alignment horizontal="center"/>
    </xf>
    <xf fontId="10" fillId="0" borderId="6" numFmtId="0" xfId="0" applyFont="1" applyBorder="1" applyAlignment="1">
      <alignment horizontal="center"/>
    </xf>
    <xf fontId="0" fillId="0" borderId="0" numFmtId="165" xfId="0" applyNumberFormat="1" applyAlignment="1">
      <alignment horizontal="center" vertical="center"/>
    </xf>
    <xf fontId="10" fillId="0" borderId="20" numFmtId="164" xfId="0" applyNumberFormat="1" applyFont="1" applyBorder="1" applyAlignment="1">
      <alignment horizontal="center"/>
    </xf>
    <xf fontId="10" fillId="0" borderId="0" numFmtId="164" xfId="0" applyNumberFormat="1" applyFont="1" applyAlignment="1">
      <alignment horizontal="center"/>
    </xf>
    <xf fontId="10" fillId="0" borderId="6" numFmtId="164" xfId="0" applyNumberFormat="1" applyFont="1" applyBorder="1"/>
    <xf fontId="10" fillId="0" borderId="6" numFmtId="164" xfId="0" applyNumberFormat="1" applyFont="1" applyBorder="1" applyAlignment="1">
      <alignment horizontal="center"/>
    </xf>
    <xf fontId="10" fillId="0" borderId="0" numFmtId="0" xfId="0" applyFont="1"/>
    <xf fontId="10" fillId="0" borderId="5" numFmtId="164" xfId="0" applyNumberFormat="1" applyFont="1" applyBorder="1" applyAlignment="1">
      <alignment horizontal="center" wrapText="1"/>
    </xf>
    <xf fontId="10" fillId="0" borderId="0" numFmtId="164" xfId="0" applyNumberFormat="1" applyFont="1" applyAlignment="1">
      <alignment horizontal="center" wrapText="1"/>
    </xf>
    <xf fontId="10" fillId="0" borderId="5" numFmtId="164" xfId="0" applyNumberFormat="1" applyFont="1" applyBorder="1" applyAlignment="1">
      <alignment wrapText="1"/>
    </xf>
    <xf fontId="0" fillId="0" borderId="18" numFmtId="166" xfId="0" applyNumberFormat="1" applyBorder="1" applyAlignment="1">
      <alignment horizontal="center" vertical="center"/>
    </xf>
    <xf fontId="0" fillId="0" borderId="2" numFmtId="166" xfId="0" applyNumberFormat="1" applyBorder="1" applyAlignment="1">
      <alignment horizontal="center" vertical="center"/>
    </xf>
    <xf fontId="10" fillId="0" borderId="5" numFmtId="164" xfId="0" applyNumberFormat="1" applyFont="1" applyBorder="1" applyAlignment="1">
      <alignment horizontal="center"/>
    </xf>
    <xf fontId="0" fillId="6" borderId="20" numFmtId="166" xfId="0" applyNumberFormat="1" applyFill="1" applyBorder="1" applyAlignment="1">
      <alignment vertical="center"/>
    </xf>
    <xf fontId="0" fillId="6" borderId="6" numFmtId="166" xfId="0" applyNumberFormat="1" applyFill="1" applyBorder="1" applyAlignment="1">
      <alignment vertical="center"/>
    </xf>
    <xf fontId="0" fillId="0" borderId="20" numFmtId="165" xfId="0" applyNumberFormat="1" applyBorder="1" applyAlignment="1">
      <alignment horizontal="center" vertical="center"/>
    </xf>
    <xf fontId="0" fillId="0" borderId="0" numFmtId="0" xfId="0" applyAlignment="1">
      <alignment horizontal="center"/>
    </xf>
    <xf fontId="0" fillId="0" borderId="6" numFmtId="0" xfId="0" applyBorder="1" applyAlignment="1">
      <alignment horizontal="center"/>
    </xf>
    <xf fontId="0" fillId="0" borderId="20" numFmtId="164" xfId="0" applyNumberFormat="1" applyBorder="1" applyAlignment="1">
      <alignment horizontal="center"/>
    </xf>
    <xf fontId="0" fillId="0" borderId="0" numFmtId="164" xfId="0" applyNumberFormat="1" applyAlignment="1">
      <alignment horizontal="center"/>
    </xf>
    <xf fontId="0" fillId="0" borderId="6" numFmtId="164" xfId="0" applyNumberFormat="1" applyBorder="1"/>
    <xf fontId="0" fillId="0" borderId="6" numFmtId="164" xfId="0" applyNumberFormat="1" applyBorder="1" applyAlignment="1">
      <alignment horizontal="center"/>
    </xf>
    <xf fontId="0" fillId="0" borderId="5" numFmtId="164" xfId="0" applyNumberFormat="1" applyBorder="1" applyAlignment="1">
      <alignment horizontal="center"/>
    </xf>
    <xf fontId="0" fillId="0" borderId="5" numFmtId="164" xfId="0" applyNumberFormat="1" applyBorder="1" applyAlignment="1">
      <alignment wrapText="1"/>
    </xf>
    <xf fontId="11" fillId="0" borderId="18" numFmtId="166" xfId="0" applyNumberFormat="1" applyFont="1" applyBorder="1" applyAlignment="1">
      <alignment horizontal="center" vertical="center"/>
    </xf>
    <xf fontId="11" fillId="0" borderId="2" numFmtId="166" xfId="0" applyNumberFormat="1" applyFont="1" applyBorder="1" applyAlignment="1">
      <alignment horizontal="center" vertical="center"/>
    </xf>
    <xf fontId="11" fillId="0" borderId="0" numFmtId="166" xfId="0" applyNumberFormat="1" applyFont="1" applyAlignment="1">
      <alignment vertical="center"/>
    </xf>
    <xf fontId="0" fillId="0" borderId="0" numFmtId="14" xfId="0" applyNumberFormat="1"/>
    <xf fontId="0" fillId="0" borderId="6" numFmtId="165" xfId="0" applyNumberFormat="1" applyBorder="1" applyAlignment="1">
      <alignment horizontal="center" vertical="center"/>
    </xf>
    <xf fontId="0" fillId="0" borderId="20" numFmtId="164" xfId="0" applyNumberFormat="1" applyBorder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6" numFmtId="164" xfId="0" applyNumberFormat="1" applyBorder="1" applyAlignment="1">
      <alignment horizontal="center" vertical="center"/>
    </xf>
    <xf fontId="0" fillId="0" borderId="0" numFmtId="166" xfId="0" applyNumberFormat="1"/>
    <xf fontId="0" fillId="6" borderId="6" numFmtId="166" xfId="0" applyNumberFormat="1" applyFill="1" applyBorder="1" applyAlignment="1">
      <alignment horizontal="center" vertical="center"/>
    </xf>
    <xf fontId="3" fillId="0" borderId="10" numFmtId="0" xfId="0" applyFont="1" applyBorder="1" applyAlignment="1">
      <alignment horizontal="center"/>
    </xf>
    <xf fontId="3" fillId="0" borderId="15" numFmtId="1" xfId="0" applyNumberFormat="1" applyFont="1" applyBorder="1" applyAlignment="1">
      <alignment horizontal="center" vertical="center"/>
    </xf>
    <xf fontId="3" fillId="0" borderId="16" numFmtId="1" xfId="0" applyNumberFormat="1" applyFont="1" applyBorder="1" applyAlignment="1">
      <alignment horizontal="center" vertical="center"/>
    </xf>
    <xf fontId="3" fillId="0" borderId="11" numFmtId="1" xfId="0" applyNumberFormat="1" applyFont="1" applyBorder="1" applyAlignment="1">
      <alignment horizontal="center" vertical="center"/>
    </xf>
    <xf fontId="3" fillId="0" borderId="15" numFmtId="164" xfId="0" applyNumberFormat="1" applyFont="1" applyBorder="1" applyAlignment="1">
      <alignment horizontal="center" vertical="center"/>
    </xf>
    <xf fontId="3" fillId="0" borderId="16" numFmtId="164" xfId="0" applyNumberFormat="1" applyFont="1" applyBorder="1" applyAlignment="1">
      <alignment horizontal="center" vertical="center"/>
    </xf>
    <xf fontId="3" fillId="0" borderId="11" numFmtId="164" xfId="0" applyNumberFormat="1" applyFont="1" applyBorder="1" applyAlignment="1">
      <alignment horizontal="center" vertical="center"/>
    </xf>
    <xf fontId="0" fillId="0" borderId="10" numFmtId="166" xfId="0" applyNumberFormat="1" applyBorder="1"/>
    <xf fontId="0" fillId="0" borderId="16" numFmtId="166" xfId="0" applyNumberFormat="1" applyBorder="1"/>
    <xf fontId="0" fillId="0" borderId="15" numFmtId="166" xfId="0" applyNumberFormat="1" applyBorder="1"/>
    <xf fontId="0" fillId="0" borderId="0" numFmtId="166" xfId="0" applyNumberFormat="1" applyAlignment="1">
      <alignment horizontal="center" vertical="center"/>
    </xf>
    <xf fontId="0" fillId="0" borderId="0" numFmtId="164" xfId="0" applyNumberFormat="1"/>
    <xf fontId="0" fillId="0" borderId="0" numFmtId="0" xfId="0"/>
    <xf fontId="0" fillId="0" borderId="0" numFmtId="0" xfId="0">
      <protection hidden="0" locked="1"/>
    </xf>
    <xf fontId="12" fillId="0" borderId="0" numFmtId="164" xfId="0" applyNumberFormat="1" applyFont="1"/>
    <xf fontId="12" fillId="0" borderId="0" numFmtId="0" xfId="0" applyFont="1"/>
    <xf fontId="12" fillId="0" borderId="0" numFmtId="0" xfId="0" applyFont="1" applyAlignment="1">
      <alignment wrapText="1"/>
    </xf>
    <xf fontId="0" fillId="0" borderId="0" numFmtId="0" xfId="0" applyAlignment="1">
      <alignment wrapText="1"/>
      <protection hidden="0" locked="1"/>
    </xf>
    <xf fontId="0" fillId="0" borderId="0" numFmtId="2" xfId="0" applyNumberFormat="1"/>
    <xf fontId="13" fillId="0" borderId="0" numFmtId="164" xfId="0" applyNumberFormat="1" applyFont="1" applyAlignment="1">
      <alignment vertical="center"/>
    </xf>
    <xf fontId="13" fillId="0" borderId="0" numFmtId="0" xfId="0" applyFont="1" applyAlignment="1">
      <alignment vertical="center"/>
    </xf>
    <xf fontId="3" fillId="8" borderId="17" numFmtId="0" xfId="0" applyFont="1" applyFill="1" applyBorder="1"/>
    <xf fontId="0" fillId="8" borderId="18" numFmtId="0" xfId="0" applyFill="1" applyBorder="1" applyAlignment="1">
      <alignment horizontal="center"/>
    </xf>
    <xf fontId="0" fillId="8" borderId="19" numFmtId="0" xfId="0" applyFill="1" applyBorder="1" applyAlignment="1">
      <alignment horizontal="center"/>
    </xf>
    <xf fontId="0" fillId="8" borderId="2" numFmtId="0" xfId="0" applyFill="1" applyBorder="1" applyAlignment="1">
      <alignment horizontal="center"/>
    </xf>
    <xf fontId="3" fillId="7" borderId="5" numFmtId="0" xfId="0" applyFont="1" applyFill="1" applyBorder="1" applyAlignment="1">
      <alignment horizontal="center" vertical="center" wrapText="1"/>
    </xf>
    <xf fontId="3" fillId="7" borderId="0" numFmtId="0" xfId="0" applyFont="1" applyFill="1" applyAlignment="1">
      <alignment horizontal="center" vertical="center" wrapText="1"/>
    </xf>
    <xf fontId="3" fillId="0" borderId="20" numFmtId="0" xfId="0" applyFont="1" applyBorder="1" applyAlignment="1">
      <alignment horizontal="center"/>
    </xf>
    <xf fontId="14" fillId="0" borderId="17" numFmtId="0" xfId="0" applyFont="1" applyBorder="1" applyAlignment="1">
      <alignment horizontal="center"/>
    </xf>
    <xf fontId="3" fillId="0" borderId="6" numFmtId="0" xfId="0" applyFont="1" applyBorder="1" applyAlignment="1">
      <alignment horizontal="center" wrapText="1"/>
    </xf>
    <xf fontId="10" fillId="0" borderId="6" numFmtId="164" xfId="0" applyNumberFormat="1" applyFont="1" applyBorder="1" applyAlignment="1">
      <alignment wrapText="1"/>
    </xf>
    <xf fontId="0" fillId="0" borderId="6" numFmtId="164" xfId="0" applyNumberFormat="1" applyBorder="1" applyAlignment="1">
      <alignment wrapText="1"/>
    </xf>
    <xf fontId="3" fillId="0" borderId="5" numFmtId="17" xfId="0" applyNumberFormat="1" applyFont="1" applyBorder="1" applyAlignment="1">
      <alignment horizontal="center"/>
    </xf>
    <xf fontId="0" fillId="6" borderId="18" numFmtId="166" xfId="0" applyNumberFormat="1" applyFill="1" applyBorder="1" applyAlignment="1">
      <alignment horizontal="center" vertical="center"/>
    </xf>
    <xf fontId="0" fillId="6" borderId="2" numFmtId="166" xfId="0" applyNumberFormat="1" applyFill="1" applyBorder="1" applyAlignment="1">
      <alignment horizontal="center" vertical="center"/>
    </xf>
    <xf fontId="0" fillId="0" borderId="11" numFmtId="166" xfId="0" applyNumberFormat="1" applyBorder="1"/>
    <xf fontId="0" fillId="0" borderId="0" numFmtId="17" xfId="0" applyNumberFormat="1"/>
    <xf fontId="15" fillId="0" borderId="0" numFmtId="167" xfId="0" applyNumberFormat="1" applyFont="1" applyAlignment="1">
      <alignment horizontal="center" vertical="center"/>
    </xf>
    <xf fontId="0" fillId="0" borderId="0" numFmtId="166" xfId="0" applyNumberFormat="1" applyAlignment="1">
      <alignment vertical="center"/>
    </xf>
    <xf fontId="11" fillId="0" borderId="0" numFmtId="166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5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customXml" Target="../customXml/item4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worksheet" Target="worksheets/sheet3.xml"/><Relationship  Id="rId9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ckliff, Tasha" id="{C534B2FD-CB55-EFD5-A080-3E2AD85D3E11}" userId="S::tasha.rockliff@ukaea.uk::5523177e-4141-40c3-a7e2-0c78d6c92673" providerId="AD"/>
  <person displayName="Rockliff, Tasha" id="{3FAE6A3C-1EB2-D0F1-4CD8-24C4E8EDA4AD}" userId="S::tasha.rockliff@ukaea.uk::5523177e-4141-40c3-a7e2-0c78d6c92673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4" dT="2025-11-17T15:00:08.08Z" personId="{C534B2FD-CB55-EFD5-A080-3E2AD85D3E11}" id="{C468B729-1142-459E-A4F4-DA8E06862930}" done="0">
    <text xml:space="preserve">Amend with each update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14" dT="2025-11-17T15:00:08.08Z" personId="{3FAE6A3C-1EB2-D0F1-4CD8-24C4E8EDA4AD}" id="{2D13D56B-EA9B-4AE5-8EC2-CEF13A37B24C}" done="1">
    <text xml:space="preserve">Amend with each update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" dT="2026-06-04T10:11:23.86Z" personId="{C534B2FD-CB55-EFD5-A080-3E2AD85D3E11}" id="{E619E42B-F8B6-4134-A3D6-5789490C4018}" done="0">
    <text xml:space="preserve">TBC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7" dT="2026-06-04T10:11:23.86Z" personId="{C534B2FD-CB55-EFD5-A080-3E2AD85D3E11}" id="{9FB3FA21-711B-4F9D-B9F5-84DD7DA73EF9}" done="0">
    <text xml:space="preserve">TBC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E25" activeCellId="0" sqref="E25"/>
    </sheetView>
  </sheetViews>
  <sheetFormatPr defaultColWidth="11" defaultRowHeight="15"/>
  <cols>
    <col bestFit="1" customWidth="1" min="2" max="2" width="24.125"/>
    <col bestFit="1" customWidth="1" min="3" max="3" width="11.875"/>
    <col customWidth="1" min="8" max="8" width="14.125"/>
  </cols>
  <sheetData>
    <row r="2">
      <c r="B2" s="1" t="s">
        <v>0</v>
      </c>
    </row>
    <row r="3">
      <c r="B3" s="2" t="s">
        <v>1</v>
      </c>
      <c r="C3" s="3"/>
    </row>
    <row r="4">
      <c r="B4" s="2" t="s">
        <v>2</v>
      </c>
      <c r="C4" s="4"/>
    </row>
    <row r="5">
      <c r="B5" s="2" t="s">
        <v>3</v>
      </c>
      <c r="C5" s="4" t="s">
        <v>4</v>
      </c>
    </row>
    <row r="6">
      <c r="B6" s="2" t="s">
        <v>5</v>
      </c>
      <c r="C6" s="4" t="s">
        <v>6</v>
      </c>
    </row>
    <row r="7">
      <c r="B7" s="2" t="s">
        <v>7</v>
      </c>
      <c r="C7" s="4" t="s">
        <v>8</v>
      </c>
      <c r="BA7" t="s">
        <v>9</v>
      </c>
    </row>
    <row r="8">
      <c r="B8" s="2" t="s">
        <v>10</v>
      </c>
    </row>
    <row r="9">
      <c r="B9" s="2" t="s">
        <v>11</v>
      </c>
    </row>
    <row r="10" ht="16.5">
      <c r="C10" s="5"/>
    </row>
    <row r="11" ht="16.5">
      <c r="C11" s="6" t="s">
        <v>12</v>
      </c>
      <c r="D11" s="7" t="s">
        <v>13</v>
      </c>
      <c r="E11" s="7" t="s">
        <v>14</v>
      </c>
      <c r="F11" s="7" t="s">
        <v>15</v>
      </c>
      <c r="G11" s="7" t="s">
        <v>16</v>
      </c>
      <c r="H11" s="8" t="s">
        <v>17</v>
      </c>
      <c r="I11" s="9">
        <v>1.3999999999999999</v>
      </c>
    </row>
    <row r="12" ht="16.5">
      <c r="C12" s="10" t="s">
        <v>18</v>
      </c>
      <c r="D12" s="11">
        <v>17.32</v>
      </c>
      <c r="E12" s="12">
        <f t="shared" ref="E12:E75" si="0">D12*1.04</f>
        <v>18.012800000000002</v>
      </c>
      <c r="F12" s="12">
        <f t="shared" ref="F12:G75" si="1">E12*1.04</f>
        <v>18.733312000000002</v>
      </c>
      <c r="G12" s="12">
        <f t="shared" si="1"/>
        <v>19.482644480000001</v>
      </c>
      <c r="H12" s="13"/>
      <c r="I12" s="14"/>
    </row>
    <row r="13">
      <c r="C13" s="10" t="s">
        <v>19</v>
      </c>
      <c r="D13" s="11">
        <v>38.850000000000001</v>
      </c>
      <c r="E13" s="12">
        <f t="shared" si="0"/>
        <v>40.404000000000003</v>
      </c>
      <c r="F13" s="12">
        <f t="shared" si="1"/>
        <v>42.020160000000004</v>
      </c>
      <c r="G13" s="12">
        <f t="shared" si="1"/>
        <v>43.700966400000006</v>
      </c>
    </row>
    <row r="14">
      <c r="C14" s="10" t="s">
        <v>20</v>
      </c>
      <c r="D14" s="11">
        <v>26.43</v>
      </c>
      <c r="E14" s="12">
        <f t="shared" si="0"/>
        <v>27.487200000000001</v>
      </c>
      <c r="F14" s="12">
        <f t="shared" si="1"/>
        <v>28.586688000000002</v>
      </c>
      <c r="G14" s="12">
        <f t="shared" si="1"/>
        <v>29.730155520000004</v>
      </c>
    </row>
    <row r="15">
      <c r="C15" s="10" t="s">
        <v>21</v>
      </c>
      <c r="D15" s="11">
        <v>26.43</v>
      </c>
      <c r="E15" s="12">
        <f t="shared" si="0"/>
        <v>27.487200000000001</v>
      </c>
      <c r="F15" s="12">
        <f t="shared" si="1"/>
        <v>28.586688000000002</v>
      </c>
      <c r="G15" s="12">
        <f t="shared" si="1"/>
        <v>29.730155520000004</v>
      </c>
    </row>
    <row r="16">
      <c r="C16" s="10" t="s">
        <v>22</v>
      </c>
      <c r="D16" s="11">
        <v>30.850000000000001</v>
      </c>
      <c r="E16" s="12">
        <f t="shared" si="0"/>
        <v>32.084000000000003</v>
      </c>
      <c r="F16" s="12">
        <f t="shared" si="1"/>
        <v>33.367360000000005</v>
      </c>
      <c r="G16" s="12">
        <f t="shared" si="1"/>
        <v>34.702054400000009</v>
      </c>
    </row>
    <row r="17">
      <c r="C17" s="10" t="s">
        <v>23</v>
      </c>
      <c r="D17" s="11">
        <v>38.75</v>
      </c>
      <c r="E17" s="12">
        <f t="shared" si="0"/>
        <v>40.300000000000004</v>
      </c>
      <c r="F17" s="12">
        <f t="shared" si="1"/>
        <v>41.912000000000006</v>
      </c>
      <c r="G17" s="12">
        <f t="shared" si="1"/>
        <v>43.588480000000011</v>
      </c>
    </row>
    <row r="18">
      <c r="C18" s="10" t="s">
        <v>24</v>
      </c>
      <c r="D18" s="11">
        <v>48.030000000000001</v>
      </c>
      <c r="E18" s="12">
        <f t="shared" si="0"/>
        <v>49.9512</v>
      </c>
      <c r="F18" s="12">
        <f t="shared" si="1"/>
        <v>51.949248000000004</v>
      </c>
      <c r="G18" s="12">
        <f t="shared" si="1"/>
        <v>54.027217920000005</v>
      </c>
    </row>
    <row r="19">
      <c r="C19" s="10" t="s">
        <v>25</v>
      </c>
      <c r="D19" s="11">
        <v>62.140000000000001</v>
      </c>
      <c r="E19" s="12">
        <f t="shared" si="0"/>
        <v>64.625600000000006</v>
      </c>
      <c r="F19" s="12">
        <f t="shared" si="1"/>
        <v>67.21062400000001</v>
      </c>
      <c r="G19" s="12">
        <f t="shared" si="1"/>
        <v>69.899048960000016</v>
      </c>
    </row>
    <row r="20">
      <c r="C20" s="10" t="s">
        <v>26</v>
      </c>
      <c r="D20" s="11">
        <v>74.049999999999997</v>
      </c>
      <c r="E20" s="12">
        <f t="shared" si="0"/>
        <v>77.012</v>
      </c>
      <c r="F20" s="12">
        <f t="shared" si="1"/>
        <v>80.092480000000009</v>
      </c>
      <c r="G20" s="12">
        <f t="shared" si="1"/>
        <v>83.296179200000012</v>
      </c>
      <c r="I20" t="s">
        <v>27</v>
      </c>
    </row>
    <row r="21">
      <c r="C21" s="10" t="s">
        <v>28</v>
      </c>
      <c r="D21" s="11">
        <v>104.90000000000001</v>
      </c>
      <c r="E21" s="12">
        <f t="shared" si="0"/>
        <v>109.096</v>
      </c>
      <c r="F21" s="12">
        <f t="shared" si="1"/>
        <v>113.45984000000001</v>
      </c>
      <c r="G21" s="15">
        <f t="shared" si="1"/>
        <v>117.99823360000002</v>
      </c>
      <c r="H21" s="16"/>
      <c r="I21" s="17" t="s">
        <v>13</v>
      </c>
      <c r="J21" s="17" t="s">
        <v>14</v>
      </c>
      <c r="K21" s="17" t="s">
        <v>15</v>
      </c>
      <c r="L21" s="17" t="s">
        <v>16</v>
      </c>
      <c r="M21" t="s">
        <v>29</v>
      </c>
      <c r="N21" t="s">
        <v>30</v>
      </c>
    </row>
    <row r="22">
      <c r="A22">
        <v>22</v>
      </c>
      <c r="B22" t="s">
        <v>31</v>
      </c>
      <c r="C22" s="10" t="s">
        <v>31</v>
      </c>
      <c r="D22" s="11">
        <v>35.289999999999999</v>
      </c>
      <c r="E22" s="12">
        <f t="shared" si="0"/>
        <v>36.701599999999999</v>
      </c>
      <c r="F22" s="12">
        <f t="shared" si="1"/>
        <v>38.169663999999997</v>
      </c>
      <c r="G22" s="15">
        <f t="shared" si="1"/>
        <v>39.696450559999995</v>
      </c>
      <c r="H22" s="18" t="s">
        <v>32</v>
      </c>
      <c r="I22" s="16">
        <f>(D23+D24)/2</f>
        <v>47.204999999999998</v>
      </c>
      <c r="J22" s="19">
        <f>(E23+E24)/2</f>
        <v>49.093199999999996</v>
      </c>
      <c r="K22" s="19">
        <f>(F23+F24)/2</f>
        <v>51.056927999999999</v>
      </c>
      <c r="L22" s="19">
        <f>(G23+G24)/2</f>
        <v>53.099205120000008</v>
      </c>
      <c r="M22" t="s">
        <v>32</v>
      </c>
      <c r="N22" t="s">
        <v>33</v>
      </c>
    </row>
    <row r="23">
      <c r="A23">
        <v>23</v>
      </c>
      <c r="B23" t="s">
        <v>34</v>
      </c>
      <c r="C23" s="10" t="s">
        <v>34</v>
      </c>
      <c r="D23" s="11">
        <v>40.399999999999999</v>
      </c>
      <c r="E23" s="12">
        <f t="shared" si="0"/>
        <v>42.015999999999998</v>
      </c>
      <c r="F23" s="12">
        <f t="shared" si="1"/>
        <v>43.696640000000002</v>
      </c>
      <c r="G23" s="15">
        <f t="shared" si="1"/>
        <v>45.444505600000006</v>
      </c>
      <c r="H23" s="18" t="s">
        <v>35</v>
      </c>
      <c r="I23" s="16">
        <f>(D25+D24)/2</f>
        <v>60.784999999999997</v>
      </c>
      <c r="J23" s="19">
        <f>(E25+E24)/2</f>
        <v>63.2164</v>
      </c>
      <c r="K23" s="19">
        <f>(F25+F24)/2</f>
        <v>65.745056000000005</v>
      </c>
      <c r="L23" s="19">
        <f>(G25+G24)/2</f>
        <v>68.374858240000009</v>
      </c>
      <c r="M23" t="s">
        <v>35</v>
      </c>
      <c r="N23" t="s">
        <v>36</v>
      </c>
    </row>
    <row r="24">
      <c r="A24">
        <v>24</v>
      </c>
      <c r="B24" t="s">
        <v>37</v>
      </c>
      <c r="C24" s="10" t="s">
        <v>37</v>
      </c>
      <c r="D24" s="11">
        <v>54.009999999999998</v>
      </c>
      <c r="E24" s="12">
        <f t="shared" si="0"/>
        <v>56.170400000000001</v>
      </c>
      <c r="F24" s="12">
        <f t="shared" si="1"/>
        <v>58.417216000000003</v>
      </c>
      <c r="G24" s="12">
        <f t="shared" si="1"/>
        <v>60.753904640000009</v>
      </c>
      <c r="AL24">
        <f>(Rates!AK24*Rates!D22)</f>
        <v>0</v>
      </c>
    </row>
    <row r="25">
      <c r="A25">
        <v>25</v>
      </c>
      <c r="B25" t="s">
        <v>38</v>
      </c>
      <c r="C25" s="10" t="s">
        <v>38</v>
      </c>
      <c r="D25" s="11">
        <v>67.560000000000002</v>
      </c>
      <c r="E25" s="12">
        <f t="shared" si="0"/>
        <v>70.2624</v>
      </c>
      <c r="F25" s="12">
        <f t="shared" si="1"/>
        <v>73.072896</v>
      </c>
      <c r="G25" s="15">
        <f t="shared" si="1"/>
        <v>75.995811840000002</v>
      </c>
      <c r="H25" s="18" t="s">
        <v>39</v>
      </c>
      <c r="I25" s="16"/>
      <c r="J25" s="16">
        <f>23810/1575</f>
        <v>15.117460317460317</v>
      </c>
      <c r="K25" s="19">
        <f>J25*1.04</f>
        <v>15.72215873015873</v>
      </c>
      <c r="L25" s="19">
        <f>K25*1.04</f>
        <v>16.351045079365079</v>
      </c>
    </row>
    <row r="26">
      <c r="C26" s="10" t="s">
        <v>40</v>
      </c>
      <c r="D26" s="11">
        <v>88.780000000000001</v>
      </c>
      <c r="E26" s="12">
        <f t="shared" si="0"/>
        <v>92.33120000000001</v>
      </c>
      <c r="F26" s="12">
        <f t="shared" si="1"/>
        <v>96.024448000000007</v>
      </c>
      <c r="G26" s="12">
        <f t="shared" si="1"/>
        <v>99.865425920000007</v>
      </c>
      <c r="J26" t="s">
        <v>41</v>
      </c>
    </row>
    <row r="27">
      <c r="C27" s="10" t="s">
        <v>42</v>
      </c>
      <c r="D27" s="11">
        <v>52.670000000000002</v>
      </c>
      <c r="E27" s="12">
        <f t="shared" si="0"/>
        <v>54.776800000000001</v>
      </c>
      <c r="F27" s="12">
        <f t="shared" si="1"/>
        <v>56.967872000000007</v>
      </c>
      <c r="G27" s="12">
        <f t="shared" si="1"/>
        <v>59.24658688000001</v>
      </c>
    </row>
    <row r="28">
      <c r="C28" s="10" t="s">
        <v>43</v>
      </c>
      <c r="D28" s="11">
        <v>46.700000000000003</v>
      </c>
      <c r="E28" s="12">
        <f t="shared" si="0"/>
        <v>48.568000000000005</v>
      </c>
      <c r="F28" s="12">
        <f t="shared" si="1"/>
        <v>50.510720000000006</v>
      </c>
      <c r="G28" s="12">
        <f t="shared" ref="G28:G87" si="2">F28*1.04</f>
        <v>52.531148800000011</v>
      </c>
    </row>
    <row r="29">
      <c r="C29" s="10" t="s">
        <v>44</v>
      </c>
      <c r="D29" s="11">
        <v>54</v>
      </c>
      <c r="E29" s="12">
        <f t="shared" si="0"/>
        <v>56.160000000000004</v>
      </c>
      <c r="F29" s="12">
        <f t="shared" si="1"/>
        <v>58.406400000000005</v>
      </c>
      <c r="G29" s="12">
        <f t="shared" si="2"/>
        <v>60.742656000000004</v>
      </c>
    </row>
    <row r="30" ht="16.5">
      <c r="C30" s="20" t="s">
        <v>45</v>
      </c>
      <c r="D30" s="21">
        <v>23.140000000000001</v>
      </c>
      <c r="E30" s="22">
        <f t="shared" si="0"/>
        <v>24.0656</v>
      </c>
      <c r="F30" s="22">
        <f t="shared" si="1"/>
        <v>25.028224000000002</v>
      </c>
      <c r="G30" s="22">
        <f t="shared" si="2"/>
        <v>26.029352960000004</v>
      </c>
    </row>
    <row r="31">
      <c r="C31" s="23" t="s">
        <v>46</v>
      </c>
      <c r="D31" s="24">
        <v>11.5</v>
      </c>
      <c r="E31" s="25">
        <f t="shared" si="0"/>
        <v>11.960000000000001</v>
      </c>
      <c r="F31" s="25">
        <f t="shared" si="1"/>
        <v>12.438400000000001</v>
      </c>
      <c r="G31" s="25">
        <f t="shared" si="2"/>
        <v>12.935936000000002</v>
      </c>
    </row>
    <row r="32">
      <c r="C32" s="23" t="s">
        <v>47</v>
      </c>
      <c r="D32" s="24">
        <v>14.75</v>
      </c>
      <c r="E32" s="25">
        <f t="shared" si="0"/>
        <v>15.34</v>
      </c>
      <c r="F32" s="25">
        <f t="shared" si="1"/>
        <v>15.9536</v>
      </c>
      <c r="G32" s="25">
        <f t="shared" si="2"/>
        <v>16.591744000000002</v>
      </c>
    </row>
    <row r="33">
      <c r="C33" s="23" t="s">
        <v>48</v>
      </c>
      <c r="D33" s="24">
        <v>16.5</v>
      </c>
      <c r="E33" s="25">
        <f t="shared" si="0"/>
        <v>17.16</v>
      </c>
      <c r="F33" s="25">
        <f t="shared" si="1"/>
        <v>17.846399999999999</v>
      </c>
      <c r="G33" s="25">
        <f t="shared" si="2"/>
        <v>18.560255999999999</v>
      </c>
    </row>
    <row r="34">
      <c r="C34" s="23" t="s">
        <v>49</v>
      </c>
      <c r="D34" s="24">
        <v>19.25</v>
      </c>
      <c r="E34" s="25">
        <f t="shared" si="0"/>
        <v>20.02</v>
      </c>
      <c r="F34" s="25">
        <f t="shared" si="1"/>
        <v>20.820800000000002</v>
      </c>
      <c r="G34" s="25">
        <f t="shared" si="2"/>
        <v>21.653632000000002</v>
      </c>
    </row>
    <row r="35">
      <c r="C35" s="23" t="s">
        <v>50</v>
      </c>
      <c r="D35" s="24">
        <v>21.5</v>
      </c>
      <c r="E35" s="25">
        <f t="shared" si="0"/>
        <v>22.359999999999999</v>
      </c>
      <c r="F35" s="25">
        <f t="shared" si="1"/>
        <v>23.2544</v>
      </c>
      <c r="G35" s="25">
        <f t="shared" si="2"/>
        <v>24.184576</v>
      </c>
    </row>
    <row r="36">
      <c r="C36" s="23" t="s">
        <v>51</v>
      </c>
      <c r="D36" s="24">
        <v>23.75</v>
      </c>
      <c r="E36" s="25">
        <f t="shared" si="0"/>
        <v>24.699999999999999</v>
      </c>
      <c r="F36" s="25">
        <f t="shared" si="1"/>
        <v>25.687999999999999</v>
      </c>
      <c r="G36" s="25">
        <f t="shared" si="2"/>
        <v>26.715519999999998</v>
      </c>
    </row>
    <row r="37">
      <c r="C37" s="23" t="s">
        <v>52</v>
      </c>
      <c r="D37" s="24">
        <v>26.5</v>
      </c>
      <c r="E37" s="25">
        <f t="shared" si="0"/>
        <v>27.560000000000002</v>
      </c>
      <c r="F37" s="25">
        <f t="shared" si="1"/>
        <v>28.662400000000002</v>
      </c>
      <c r="G37" s="25">
        <f t="shared" si="2"/>
        <v>29.808896000000004</v>
      </c>
    </row>
    <row r="38">
      <c r="C38" s="23" t="s">
        <v>53</v>
      </c>
      <c r="D38" s="24">
        <v>29</v>
      </c>
      <c r="E38" s="25">
        <f t="shared" si="0"/>
        <v>30.16</v>
      </c>
      <c r="F38" s="25">
        <f t="shared" si="1"/>
        <v>31.366400000000002</v>
      </c>
      <c r="G38" s="25">
        <f t="shared" si="2"/>
        <v>32.621056000000003</v>
      </c>
    </row>
    <row r="39">
      <c r="C39" s="23" t="s">
        <v>54</v>
      </c>
      <c r="D39" s="24">
        <v>31.25</v>
      </c>
      <c r="E39" s="25">
        <f t="shared" si="0"/>
        <v>32.5</v>
      </c>
      <c r="F39" s="25">
        <f t="shared" si="1"/>
        <v>33.800000000000004</v>
      </c>
      <c r="G39" s="25">
        <f t="shared" si="2"/>
        <v>35.152000000000008</v>
      </c>
    </row>
    <row r="40">
      <c r="C40" s="23" t="s">
        <v>55</v>
      </c>
      <c r="D40" s="24">
        <v>33.75</v>
      </c>
      <c r="E40" s="25">
        <f t="shared" si="0"/>
        <v>35.100000000000001</v>
      </c>
      <c r="F40" s="25">
        <f t="shared" si="1"/>
        <v>36.504000000000005</v>
      </c>
      <c r="G40" s="25">
        <f t="shared" si="2"/>
        <v>37.964160000000007</v>
      </c>
    </row>
    <row r="41">
      <c r="C41" s="23" t="s">
        <v>56</v>
      </c>
      <c r="D41" s="24">
        <v>36.5</v>
      </c>
      <c r="E41" s="25">
        <f t="shared" si="0"/>
        <v>37.960000000000001</v>
      </c>
      <c r="F41" s="25">
        <f t="shared" si="1"/>
        <v>39.478400000000001</v>
      </c>
      <c r="G41" s="25">
        <f t="shared" si="2"/>
        <v>41.057535999999999</v>
      </c>
    </row>
    <row r="42">
      <c r="C42" s="23" t="s">
        <v>57</v>
      </c>
      <c r="D42" s="24">
        <v>38.5</v>
      </c>
      <c r="E42" s="25">
        <f t="shared" si="0"/>
        <v>40.039999999999999</v>
      </c>
      <c r="F42" s="25">
        <f t="shared" si="1"/>
        <v>41.641600000000004</v>
      </c>
      <c r="G42" s="25">
        <f t="shared" si="2"/>
        <v>43.307264000000004</v>
      </c>
    </row>
    <row r="43">
      <c r="C43" s="23" t="s">
        <v>58</v>
      </c>
      <c r="D43" s="24">
        <v>41.5</v>
      </c>
      <c r="E43" s="25">
        <f t="shared" si="0"/>
        <v>43.160000000000004</v>
      </c>
      <c r="F43" s="25">
        <f t="shared" si="1"/>
        <v>44.886400000000002</v>
      </c>
      <c r="G43" s="25">
        <f t="shared" si="2"/>
        <v>46.681856000000003</v>
      </c>
    </row>
    <row r="44">
      <c r="C44" s="23" t="s">
        <v>59</v>
      </c>
      <c r="D44" s="24">
        <v>44.25</v>
      </c>
      <c r="E44" s="25">
        <f t="shared" si="0"/>
        <v>46.020000000000003</v>
      </c>
      <c r="F44" s="25">
        <f t="shared" si="1"/>
        <v>47.860800000000005</v>
      </c>
      <c r="G44" s="25">
        <f t="shared" si="2"/>
        <v>49.77523200000001</v>
      </c>
    </row>
    <row r="45">
      <c r="C45" s="23" t="s">
        <v>60</v>
      </c>
      <c r="D45" s="24">
        <v>48</v>
      </c>
      <c r="E45" s="25">
        <f t="shared" si="0"/>
        <v>49.920000000000002</v>
      </c>
      <c r="F45" s="25">
        <f t="shared" si="1"/>
        <v>51.916800000000002</v>
      </c>
      <c r="G45" s="25">
        <f t="shared" si="2"/>
        <v>53.993472000000004</v>
      </c>
    </row>
    <row r="46">
      <c r="C46" s="23" t="s">
        <v>61</v>
      </c>
      <c r="D46" s="24">
        <v>53.25</v>
      </c>
      <c r="E46" s="25">
        <f t="shared" si="0"/>
        <v>55.380000000000003</v>
      </c>
      <c r="F46" s="25">
        <f t="shared" si="1"/>
        <v>57.595200000000006</v>
      </c>
      <c r="G46" s="25">
        <f t="shared" si="2"/>
        <v>59.899008000000009</v>
      </c>
    </row>
    <row r="47">
      <c r="C47" s="23" t="s">
        <v>62</v>
      </c>
      <c r="D47" s="24">
        <v>58.5</v>
      </c>
      <c r="E47" s="25">
        <f t="shared" si="0"/>
        <v>60.840000000000003</v>
      </c>
      <c r="F47" s="25">
        <f t="shared" si="1"/>
        <v>63.273600000000009</v>
      </c>
      <c r="G47" s="25">
        <f t="shared" si="2"/>
        <v>65.804544000000007</v>
      </c>
    </row>
    <row r="48">
      <c r="C48" s="23" t="s">
        <v>63</v>
      </c>
      <c r="D48" s="24">
        <v>64.5</v>
      </c>
      <c r="E48" s="25">
        <f t="shared" si="0"/>
        <v>67.079999999999998</v>
      </c>
      <c r="F48" s="25">
        <f t="shared" si="1"/>
        <v>69.763199999999998</v>
      </c>
      <c r="G48" s="25">
        <f t="shared" si="2"/>
        <v>72.553728000000007</v>
      </c>
    </row>
    <row r="49">
      <c r="C49" s="23" t="s">
        <v>64</v>
      </c>
      <c r="D49" s="24">
        <v>70</v>
      </c>
      <c r="E49" s="25">
        <f t="shared" si="0"/>
        <v>72.799999999999997</v>
      </c>
      <c r="F49" s="25">
        <f t="shared" si="1"/>
        <v>75.712000000000003</v>
      </c>
      <c r="G49" s="25">
        <f t="shared" si="2"/>
        <v>78.740480000000005</v>
      </c>
    </row>
    <row r="50">
      <c r="C50" s="23" t="s">
        <v>65</v>
      </c>
      <c r="D50" s="24">
        <v>75.849999999999994</v>
      </c>
      <c r="E50" s="25">
        <f t="shared" si="0"/>
        <v>78.884</v>
      </c>
      <c r="F50" s="25">
        <f t="shared" si="1"/>
        <v>82.039360000000002</v>
      </c>
      <c r="G50" s="25">
        <f t="shared" si="2"/>
        <v>85.320934399999999</v>
      </c>
    </row>
    <row r="51">
      <c r="C51" s="23" t="s">
        <v>66</v>
      </c>
      <c r="D51" s="24">
        <v>81.700000000000003</v>
      </c>
      <c r="E51" s="25">
        <f t="shared" si="0"/>
        <v>84.968000000000004</v>
      </c>
      <c r="F51" s="25">
        <f t="shared" si="1"/>
        <v>88.366720000000001</v>
      </c>
      <c r="G51" s="25">
        <f t="shared" si="2"/>
        <v>91.901388800000007</v>
      </c>
    </row>
    <row r="52">
      <c r="C52" s="23" t="s">
        <v>67</v>
      </c>
      <c r="D52" s="24">
        <v>87.549999999999997</v>
      </c>
      <c r="E52" s="25">
        <f t="shared" si="0"/>
        <v>91.052000000000007</v>
      </c>
      <c r="F52" s="25">
        <f t="shared" si="1"/>
        <v>94.694080000000014</v>
      </c>
      <c r="G52" s="25">
        <f t="shared" si="2"/>
        <v>98.481843200000014</v>
      </c>
    </row>
    <row r="53">
      <c r="C53" s="23" t="s">
        <v>68</v>
      </c>
      <c r="D53" s="24">
        <v>90</v>
      </c>
      <c r="E53" s="25">
        <f t="shared" si="0"/>
        <v>93.600000000000009</v>
      </c>
      <c r="F53" s="25">
        <f t="shared" si="1"/>
        <v>97.344000000000008</v>
      </c>
      <c r="G53" s="25">
        <f t="shared" si="2"/>
        <v>101.23776000000001</v>
      </c>
    </row>
    <row r="54">
      <c r="C54" s="23" t="s">
        <v>69</v>
      </c>
      <c r="D54" s="24">
        <v>95</v>
      </c>
      <c r="E54" s="25">
        <f t="shared" si="0"/>
        <v>98.799999999999997</v>
      </c>
      <c r="F54" s="25">
        <f t="shared" si="1"/>
        <v>102.752</v>
      </c>
      <c r="G54" s="25">
        <f t="shared" si="2"/>
        <v>106.86207999999999</v>
      </c>
    </row>
    <row r="55">
      <c r="C55" s="23" t="s">
        <v>70</v>
      </c>
      <c r="D55" s="24">
        <v>100</v>
      </c>
      <c r="E55" s="25">
        <f t="shared" si="0"/>
        <v>104</v>
      </c>
      <c r="F55" s="25">
        <f t="shared" si="1"/>
        <v>108.16</v>
      </c>
      <c r="G55" s="25">
        <f t="shared" si="2"/>
        <v>112.4864</v>
      </c>
    </row>
    <row r="56">
      <c r="C56" s="23" t="s">
        <v>71</v>
      </c>
      <c r="D56" s="24">
        <v>105</v>
      </c>
      <c r="E56" s="25">
        <f t="shared" si="0"/>
        <v>109.2</v>
      </c>
      <c r="F56" s="25">
        <f t="shared" si="1"/>
        <v>113.56800000000001</v>
      </c>
      <c r="G56" s="25">
        <f t="shared" si="2"/>
        <v>118.11072000000001</v>
      </c>
    </row>
    <row r="57">
      <c r="C57" s="23" t="s">
        <v>72</v>
      </c>
      <c r="D57" s="24">
        <v>110</v>
      </c>
      <c r="E57" s="25">
        <f t="shared" si="0"/>
        <v>114.40000000000001</v>
      </c>
      <c r="F57" s="25">
        <f t="shared" si="1"/>
        <v>118.97600000000001</v>
      </c>
      <c r="G57" s="25">
        <f t="shared" si="2"/>
        <v>123.73504000000001</v>
      </c>
    </row>
    <row r="58">
      <c r="C58" s="23" t="s">
        <v>73</v>
      </c>
      <c r="D58" s="24">
        <v>115</v>
      </c>
      <c r="E58" s="25">
        <f t="shared" si="0"/>
        <v>119.60000000000001</v>
      </c>
      <c r="F58" s="25">
        <f t="shared" si="1"/>
        <v>124.38400000000001</v>
      </c>
      <c r="G58" s="25">
        <f t="shared" si="2"/>
        <v>129.35936000000001</v>
      </c>
    </row>
    <row r="59">
      <c r="C59" s="23" t="s">
        <v>74</v>
      </c>
      <c r="D59" s="24">
        <v>120</v>
      </c>
      <c r="E59" s="25">
        <f t="shared" si="0"/>
        <v>124.80000000000001</v>
      </c>
      <c r="F59" s="25">
        <f t="shared" si="1"/>
        <v>129.79200000000003</v>
      </c>
      <c r="G59" s="25">
        <f t="shared" si="2"/>
        <v>134.98368000000005</v>
      </c>
    </row>
    <row r="60" ht="16.5">
      <c r="C60" s="26" t="s">
        <v>75</v>
      </c>
      <c r="D60" s="27">
        <v>125</v>
      </c>
      <c r="E60" s="28">
        <f t="shared" si="0"/>
        <v>130</v>
      </c>
      <c r="F60" s="28">
        <f t="shared" si="1"/>
        <v>135.20000000000002</v>
      </c>
      <c r="G60" s="28">
        <f t="shared" si="2"/>
        <v>140.60800000000003</v>
      </c>
    </row>
    <row r="61" ht="16.5">
      <c r="C61" s="29" t="s">
        <v>76</v>
      </c>
      <c r="D61" s="30">
        <v>56.700000000000003</v>
      </c>
      <c r="E61" s="31">
        <f t="shared" si="0"/>
        <v>58.968000000000004</v>
      </c>
      <c r="F61" s="31">
        <f t="shared" si="1"/>
        <v>61.326720000000009</v>
      </c>
      <c r="G61" s="31">
        <f t="shared" si="2"/>
        <v>63.779788800000013</v>
      </c>
    </row>
    <row r="62">
      <c r="C62" s="32" t="s">
        <v>77</v>
      </c>
      <c r="D62" s="33">
        <v>110</v>
      </c>
      <c r="E62" s="34">
        <f t="shared" si="0"/>
        <v>114.40000000000001</v>
      </c>
      <c r="F62" s="34">
        <f t="shared" si="1"/>
        <v>118.97600000000001</v>
      </c>
      <c r="G62" s="34">
        <f t="shared" si="2"/>
        <v>123.73504000000001</v>
      </c>
    </row>
    <row r="63">
      <c r="C63" s="32" t="s">
        <v>78</v>
      </c>
      <c r="D63" s="35">
        <v>72</v>
      </c>
      <c r="E63" s="36">
        <f t="shared" si="0"/>
        <v>74.879999999999995</v>
      </c>
      <c r="F63" s="36">
        <f t="shared" si="1"/>
        <v>77.875199999999992</v>
      </c>
      <c r="G63" s="36">
        <f t="shared" si="2"/>
        <v>80.990207999999996</v>
      </c>
    </row>
    <row r="64">
      <c r="C64" s="32" t="s">
        <v>79</v>
      </c>
      <c r="D64" s="35">
        <v>55</v>
      </c>
      <c r="E64" s="36">
        <f t="shared" si="0"/>
        <v>57.200000000000003</v>
      </c>
      <c r="F64" s="36">
        <f t="shared" si="1"/>
        <v>59.488000000000007</v>
      </c>
      <c r="G64" s="36">
        <f t="shared" si="2"/>
        <v>61.867520000000006</v>
      </c>
    </row>
    <row r="65">
      <c r="C65" s="32" t="s">
        <v>80</v>
      </c>
      <c r="D65" s="35">
        <v>65</v>
      </c>
      <c r="E65" s="36">
        <f t="shared" si="0"/>
        <v>67.600000000000009</v>
      </c>
      <c r="F65" s="36">
        <f t="shared" si="1"/>
        <v>70.304000000000016</v>
      </c>
      <c r="G65" s="36">
        <f t="shared" si="2"/>
        <v>73.116160000000022</v>
      </c>
    </row>
    <row r="66">
      <c r="C66" s="32" t="s">
        <v>81</v>
      </c>
      <c r="D66" s="35">
        <v>82</v>
      </c>
      <c r="E66" s="36">
        <f t="shared" si="0"/>
        <v>85.280000000000001</v>
      </c>
      <c r="F66" s="36">
        <f t="shared" si="1"/>
        <v>88.691200000000009</v>
      </c>
      <c r="G66" s="36">
        <f t="shared" si="2"/>
        <v>92.238848000000019</v>
      </c>
    </row>
    <row r="67">
      <c r="C67" s="32" t="s">
        <v>82</v>
      </c>
      <c r="D67" s="35">
        <v>69</v>
      </c>
      <c r="E67" s="36">
        <f t="shared" si="0"/>
        <v>71.760000000000005</v>
      </c>
      <c r="F67" s="36">
        <f t="shared" si="1"/>
        <v>74.630400000000009</v>
      </c>
      <c r="G67" s="36">
        <f t="shared" si="2"/>
        <v>77.615616000000017</v>
      </c>
    </row>
    <row r="68">
      <c r="C68" s="32" t="s">
        <v>83</v>
      </c>
      <c r="D68" s="35">
        <v>38</v>
      </c>
      <c r="E68" s="36">
        <f t="shared" si="0"/>
        <v>39.520000000000003</v>
      </c>
      <c r="F68" s="36">
        <f t="shared" si="1"/>
        <v>41.100800000000007</v>
      </c>
      <c r="G68" s="36">
        <f t="shared" si="2"/>
        <v>42.744832000000009</v>
      </c>
    </row>
    <row r="69">
      <c r="C69" s="32" t="s">
        <v>84</v>
      </c>
      <c r="D69" s="35">
        <v>60</v>
      </c>
      <c r="E69" s="36">
        <f t="shared" si="0"/>
        <v>62.400000000000006</v>
      </c>
      <c r="F69" s="36">
        <f t="shared" si="1"/>
        <v>64.896000000000015</v>
      </c>
      <c r="G69" s="36">
        <f t="shared" si="2"/>
        <v>67.491840000000025</v>
      </c>
    </row>
    <row r="70">
      <c r="C70" s="32" t="s">
        <v>85</v>
      </c>
      <c r="D70" s="35">
        <v>90</v>
      </c>
      <c r="E70" s="36">
        <f t="shared" si="0"/>
        <v>93.600000000000009</v>
      </c>
      <c r="F70" s="36">
        <f t="shared" si="1"/>
        <v>97.344000000000008</v>
      </c>
      <c r="G70" s="36">
        <f t="shared" si="2"/>
        <v>101.23776000000001</v>
      </c>
    </row>
    <row r="71">
      <c r="C71" s="32" t="s">
        <v>86</v>
      </c>
      <c r="D71" s="35">
        <v>120</v>
      </c>
      <c r="E71" s="36">
        <f t="shared" si="0"/>
        <v>124.80000000000001</v>
      </c>
      <c r="F71" s="36">
        <f t="shared" si="1"/>
        <v>129.79200000000003</v>
      </c>
      <c r="G71" s="36">
        <f t="shared" si="2"/>
        <v>134.98368000000005</v>
      </c>
    </row>
    <row r="72">
      <c r="C72" s="32" t="s">
        <v>87</v>
      </c>
      <c r="D72" s="35">
        <v>100</v>
      </c>
      <c r="E72" s="36">
        <f t="shared" si="0"/>
        <v>104</v>
      </c>
      <c r="F72" s="36">
        <f t="shared" si="1"/>
        <v>108.16</v>
      </c>
      <c r="G72" s="36">
        <f t="shared" si="2"/>
        <v>112.4864</v>
      </c>
    </row>
    <row r="73">
      <c r="C73" s="32" t="s">
        <v>88</v>
      </c>
      <c r="D73" s="35">
        <v>50</v>
      </c>
      <c r="E73" s="36">
        <f t="shared" si="0"/>
        <v>52</v>
      </c>
      <c r="F73" s="36">
        <f t="shared" si="1"/>
        <v>54.079999999999998</v>
      </c>
      <c r="G73" s="36">
        <f t="shared" si="2"/>
        <v>56.243200000000002</v>
      </c>
    </row>
    <row r="74">
      <c r="C74" s="32" t="s">
        <v>89</v>
      </c>
      <c r="D74" s="35">
        <v>65</v>
      </c>
      <c r="E74" s="36">
        <f t="shared" si="0"/>
        <v>67.600000000000009</v>
      </c>
      <c r="F74" s="36">
        <f t="shared" si="1"/>
        <v>70.304000000000016</v>
      </c>
      <c r="G74" s="36">
        <f t="shared" si="2"/>
        <v>73.116160000000022</v>
      </c>
    </row>
    <row r="75">
      <c r="C75" s="32" t="s">
        <v>90</v>
      </c>
      <c r="D75" s="35">
        <v>70</v>
      </c>
      <c r="E75" s="36">
        <f t="shared" si="0"/>
        <v>72.799999999999997</v>
      </c>
      <c r="F75" s="36">
        <f t="shared" si="1"/>
        <v>75.712000000000003</v>
      </c>
      <c r="G75" s="36">
        <f t="shared" si="2"/>
        <v>78.740480000000005</v>
      </c>
    </row>
    <row r="76">
      <c r="C76" s="32" t="s">
        <v>91</v>
      </c>
      <c r="D76" s="35">
        <v>55</v>
      </c>
      <c r="E76" s="36">
        <f t="shared" ref="E76:E87" si="3">D76*1.04</f>
        <v>57.200000000000003</v>
      </c>
      <c r="F76" s="36">
        <f t="shared" ref="F76:G87" si="4">E76*1.04</f>
        <v>59.488000000000007</v>
      </c>
      <c r="G76" s="36">
        <f t="shared" si="2"/>
        <v>61.867520000000006</v>
      </c>
    </row>
    <row r="77">
      <c r="C77" s="32" t="s">
        <v>92</v>
      </c>
      <c r="D77" s="35">
        <v>105</v>
      </c>
      <c r="E77" s="36">
        <f t="shared" si="3"/>
        <v>109.2</v>
      </c>
      <c r="F77" s="36">
        <f t="shared" si="4"/>
        <v>113.56800000000001</v>
      </c>
      <c r="G77" s="36">
        <f t="shared" si="2"/>
        <v>118.11072000000001</v>
      </c>
    </row>
    <row r="78">
      <c r="C78" s="32" t="s">
        <v>93</v>
      </c>
      <c r="D78" s="35">
        <v>95</v>
      </c>
      <c r="E78" s="36">
        <f t="shared" si="3"/>
        <v>98.799999999999997</v>
      </c>
      <c r="F78" s="36">
        <f t="shared" si="4"/>
        <v>102.752</v>
      </c>
      <c r="G78" s="36">
        <f t="shared" si="2"/>
        <v>106.86207999999999</v>
      </c>
    </row>
    <row r="79">
      <c r="C79" s="32" t="s">
        <v>94</v>
      </c>
      <c r="D79" s="35">
        <v>46</v>
      </c>
      <c r="E79" s="36">
        <f t="shared" si="3"/>
        <v>47.840000000000003</v>
      </c>
      <c r="F79" s="36">
        <f t="shared" si="4"/>
        <v>49.753600000000006</v>
      </c>
      <c r="G79" s="36">
        <f t="shared" si="2"/>
        <v>51.743744000000007</v>
      </c>
    </row>
    <row r="80">
      <c r="C80" s="32" t="s">
        <v>95</v>
      </c>
      <c r="D80" s="35">
        <v>115</v>
      </c>
      <c r="E80" s="36">
        <f t="shared" si="3"/>
        <v>119.60000000000001</v>
      </c>
      <c r="F80" s="36">
        <f t="shared" si="4"/>
        <v>124.38400000000001</v>
      </c>
      <c r="G80" s="36">
        <f t="shared" si="2"/>
        <v>129.35936000000001</v>
      </c>
    </row>
    <row r="81">
      <c r="C81" s="32" t="s">
        <v>96</v>
      </c>
      <c r="D81" s="35">
        <v>170</v>
      </c>
      <c r="E81" s="36">
        <f t="shared" si="3"/>
        <v>176.80000000000001</v>
      </c>
      <c r="F81" s="36">
        <f t="shared" si="4"/>
        <v>183.87200000000001</v>
      </c>
      <c r="G81" s="36">
        <f t="shared" si="2"/>
        <v>191.22688000000002</v>
      </c>
    </row>
    <row r="82">
      <c r="C82" s="32" t="s">
        <v>97</v>
      </c>
      <c r="D82" s="35">
        <v>135</v>
      </c>
      <c r="E82" s="36">
        <f t="shared" si="3"/>
        <v>140.40000000000001</v>
      </c>
      <c r="F82" s="36">
        <f t="shared" si="4"/>
        <v>146.01600000000002</v>
      </c>
      <c r="G82" s="36">
        <f t="shared" si="2"/>
        <v>151.85664000000003</v>
      </c>
    </row>
    <row r="83">
      <c r="C83" s="32" t="s">
        <v>98</v>
      </c>
      <c r="D83" s="35">
        <v>129</v>
      </c>
      <c r="E83" s="36">
        <f t="shared" si="3"/>
        <v>134.16</v>
      </c>
      <c r="F83" s="36">
        <f t="shared" si="4"/>
        <v>139.5264</v>
      </c>
      <c r="G83" s="36">
        <f t="shared" si="2"/>
        <v>145.10745600000001</v>
      </c>
    </row>
    <row r="84">
      <c r="C84" s="32" t="s">
        <v>99</v>
      </c>
      <c r="D84" s="35">
        <v>87</v>
      </c>
      <c r="E84" s="36">
        <f t="shared" si="3"/>
        <v>90.480000000000004</v>
      </c>
      <c r="F84" s="36">
        <f t="shared" si="4"/>
        <v>94.09920000000001</v>
      </c>
      <c r="G84" s="36">
        <f t="shared" si="2"/>
        <v>97.863168000000016</v>
      </c>
    </row>
    <row r="85">
      <c r="C85" s="32" t="s">
        <v>100</v>
      </c>
      <c r="D85" s="35">
        <v>160</v>
      </c>
      <c r="E85" s="36">
        <f t="shared" si="3"/>
        <v>166.40000000000001</v>
      </c>
      <c r="F85" s="36">
        <f t="shared" si="4"/>
        <v>173.05600000000001</v>
      </c>
      <c r="G85" s="36">
        <f t="shared" si="2"/>
        <v>179.97824000000003</v>
      </c>
    </row>
    <row r="86">
      <c r="C86" s="32" t="s">
        <v>101</v>
      </c>
      <c r="D86" s="35">
        <v>77</v>
      </c>
      <c r="E86" s="36">
        <f t="shared" si="3"/>
        <v>80.079999999999998</v>
      </c>
      <c r="F86" s="36">
        <f t="shared" si="4"/>
        <v>83.283200000000008</v>
      </c>
      <c r="G86" s="36">
        <f t="shared" si="2"/>
        <v>86.614528000000007</v>
      </c>
    </row>
    <row r="87" ht="16.5">
      <c r="C87" s="37" t="s">
        <v>102</v>
      </c>
      <c r="D87" s="38">
        <v>125</v>
      </c>
      <c r="E87" s="39">
        <f t="shared" si="3"/>
        <v>130</v>
      </c>
      <c r="F87" s="39">
        <f t="shared" si="4"/>
        <v>135.20000000000002</v>
      </c>
      <c r="G87" s="39">
        <f t="shared" si="2"/>
        <v>140.60800000000003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L12" activeCellId="0" sqref="L12"/>
    </sheetView>
  </sheetViews>
  <sheetFormatPr defaultColWidth="11" defaultRowHeight="15.75" customHeight="1"/>
  <cols>
    <col customWidth="1" min="2" max="2" width="13.625"/>
    <col customWidth="1" min="3" max="3" width="4.25"/>
    <col customWidth="1" min="4" max="15" width="7.625"/>
    <col customWidth="1" min="16" max="19" width="12.5"/>
    <col customWidth="1" min="20" max="20" width="18"/>
    <col customWidth="1" min="21" max="22" width="13.5"/>
    <col customWidth="1" min="23" max="23" width="4"/>
    <col customWidth="1" min="24" max="24" width="19"/>
    <col customWidth="1" min="25" max="25" width="16.5"/>
    <col customWidth="1" min="26" max="27" style="40" width="16.5"/>
    <col customWidth="1" min="28" max="28" style="41" width="13.875"/>
    <col customWidth="1" min="29" max="29" width="2.5"/>
    <col customWidth="1" min="30" max="30" width="15.875"/>
    <col customWidth="1" min="31" max="31" width="16.875"/>
    <col customWidth="1" min="32" max="32" width="3.375"/>
  </cols>
  <sheetData>
    <row r="1" ht="15.75" customHeight="1">
      <c r="B1" s="42" t="s">
        <v>103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4" s="2" customFormat="1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9"/>
      <c r="X4" s="47" t="s">
        <v>106</v>
      </c>
      <c r="Y4" s="49"/>
      <c r="Z4" s="47" t="s">
        <v>107</v>
      </c>
      <c r="AA4" s="49"/>
      <c r="AB4" s="50" t="s">
        <v>108</v>
      </c>
      <c r="AC4" s="51"/>
      <c r="AD4" s="52" t="s">
        <v>109</v>
      </c>
      <c r="AE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113</v>
      </c>
      <c r="I5" s="56" t="s">
        <v>114</v>
      </c>
      <c r="J5" s="56" t="s">
        <v>115</v>
      </c>
      <c r="K5" s="56" t="s">
        <v>116</v>
      </c>
      <c r="L5" s="56" t="s">
        <v>117</v>
      </c>
      <c r="M5" s="56" t="s">
        <v>118</v>
      </c>
      <c r="N5" s="56" t="s">
        <v>119</v>
      </c>
      <c r="O5" s="57" t="s">
        <v>120</v>
      </c>
      <c r="P5" s="58" t="s">
        <v>121</v>
      </c>
      <c r="Q5" s="59" t="s">
        <v>122</v>
      </c>
      <c r="R5" s="59" t="s">
        <v>123</v>
      </c>
      <c r="S5" s="59" t="s">
        <v>124</v>
      </c>
      <c r="T5" s="60" t="s">
        <v>125</v>
      </c>
      <c r="U5" s="55" t="s">
        <v>126</v>
      </c>
      <c r="V5" s="61" t="s">
        <v>127</v>
      </c>
      <c r="X5" s="62" t="s">
        <v>128</v>
      </c>
      <c r="Y5" s="62" t="s">
        <v>129</v>
      </c>
      <c r="Z5" s="63" t="s">
        <v>130</v>
      </c>
      <c r="AA5" s="64" t="s">
        <v>131</v>
      </c>
      <c r="AB5" s="65" t="s">
        <v>132</v>
      </c>
      <c r="AC5" s="51"/>
      <c r="AD5" s="66"/>
      <c r="AE5" s="67"/>
    </row>
    <row r="6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135</v>
      </c>
      <c r="I6" s="70" t="s">
        <v>37</v>
      </c>
      <c r="J6" s="70" t="s">
        <v>22</v>
      </c>
      <c r="K6" s="70" t="s">
        <v>37</v>
      </c>
      <c r="L6" s="70" t="s">
        <v>34</v>
      </c>
      <c r="M6" s="70" t="s">
        <v>34</v>
      </c>
      <c r="N6" s="71" t="s">
        <v>34</v>
      </c>
      <c r="O6" s="51"/>
      <c r="P6" s="72" t="s">
        <v>137</v>
      </c>
      <c r="Q6" s="73"/>
      <c r="R6" s="73"/>
      <c r="S6" s="73"/>
      <c r="T6" s="74"/>
      <c r="U6" s="75"/>
      <c r="V6" s="76"/>
      <c r="X6" s="77"/>
      <c r="Y6" s="51"/>
      <c r="Z6" s="78"/>
      <c r="AA6" s="79"/>
      <c r="AB6" s="80"/>
      <c r="AC6" s="51"/>
      <c r="AD6" s="81"/>
      <c r="AE6" s="81"/>
    </row>
    <row r="7" ht="16.5">
      <c r="B7" s="68" t="s">
        <v>138</v>
      </c>
      <c r="C7" s="2"/>
      <c r="D7" s="82">
        <v>0.29999999999999999</v>
      </c>
      <c r="E7" s="83">
        <v>0</v>
      </c>
      <c r="F7" s="83">
        <v>0</v>
      </c>
      <c r="G7" s="83">
        <v>0</v>
      </c>
      <c r="H7" s="83">
        <v>0</v>
      </c>
      <c r="I7" s="83">
        <v>0.90000000000000002</v>
      </c>
      <c r="J7" s="83">
        <v>0</v>
      </c>
      <c r="K7" s="83">
        <v>0</v>
      </c>
      <c r="L7" s="83">
        <v>0.20000000000000001</v>
      </c>
      <c r="M7" s="83">
        <v>1</v>
      </c>
      <c r="N7" s="84">
        <v>0</v>
      </c>
      <c r="O7" s="51"/>
      <c r="P7" s="85"/>
      <c r="Q7" s="86"/>
      <c r="R7" s="86"/>
      <c r="S7" s="86"/>
      <c r="T7" s="87"/>
      <c r="U7" s="88"/>
      <c r="V7" s="89"/>
      <c r="X7" s="90"/>
      <c r="Y7" s="51"/>
      <c r="Z7" s="79"/>
      <c r="AA7" s="79"/>
      <c r="AB7" s="80"/>
      <c r="AC7" s="51"/>
      <c r="AD7" s="81"/>
      <c r="AE7" s="81"/>
    </row>
    <row r="8" ht="16.5">
      <c r="B8" s="68" t="s">
        <v>139</v>
      </c>
      <c r="C8" s="2"/>
      <c r="D8" s="91">
        <v>24</v>
      </c>
      <c r="E8" s="92">
        <v>0</v>
      </c>
      <c r="F8" s="92">
        <v>0</v>
      </c>
      <c r="G8" s="92">
        <v>0</v>
      </c>
      <c r="H8" s="92">
        <v>0</v>
      </c>
      <c r="I8" s="92">
        <v>948</v>
      </c>
      <c r="J8" s="92">
        <v>0</v>
      </c>
      <c r="K8" s="92">
        <v>0</v>
      </c>
      <c r="L8" s="92">
        <v>0</v>
      </c>
      <c r="M8" s="92">
        <v>809</v>
      </c>
      <c r="N8" s="93">
        <v>0</v>
      </c>
      <c r="O8" s="94">
        <f t="shared" ref="O8:O12" si="5">SUM(D8:N8)</f>
        <v>1781</v>
      </c>
      <c r="P8" s="95"/>
      <c r="Q8" s="96"/>
      <c r="R8" s="96"/>
      <c r="S8" s="96"/>
      <c r="T8" s="97">
        <f t="shared" ref="T8:T9" si="6">SUM(P8:S8)</f>
        <v>0</v>
      </c>
      <c r="U8" s="96">
        <v>627</v>
      </c>
      <c r="V8" s="98">
        <v>215</v>
      </c>
      <c r="W8" s="99"/>
      <c r="X8" s="100">
        <v>0</v>
      </c>
      <c r="Y8" s="101">
        <v>0</v>
      </c>
      <c r="Z8" s="79">
        <v>0</v>
      </c>
      <c r="AA8" s="79"/>
      <c r="AB8" s="102">
        <v>95819.570000000007</v>
      </c>
      <c r="AC8" s="51"/>
      <c r="AD8" s="103" t="s">
        <v>140</v>
      </c>
      <c r="AE8" s="104"/>
    </row>
    <row r="9" ht="16.5">
      <c r="B9" s="68" t="s">
        <v>13</v>
      </c>
      <c r="C9" s="2"/>
      <c r="D9" s="91">
        <v>1091</v>
      </c>
      <c r="E9" s="92">
        <v>949</v>
      </c>
      <c r="F9" s="92">
        <v>0</v>
      </c>
      <c r="G9" s="92">
        <v>780</v>
      </c>
      <c r="H9" s="92">
        <v>0</v>
      </c>
      <c r="I9" s="92">
        <v>957</v>
      </c>
      <c r="J9" s="92">
        <v>10</v>
      </c>
      <c r="K9" s="92">
        <v>58</v>
      </c>
      <c r="L9" s="92">
        <v>358</v>
      </c>
      <c r="M9" s="92">
        <v>1393</v>
      </c>
      <c r="N9" s="93">
        <v>251</v>
      </c>
      <c r="O9" s="94">
        <f t="shared" si="5"/>
        <v>5847</v>
      </c>
      <c r="P9" s="95">
        <v>7778</v>
      </c>
      <c r="Q9" s="96">
        <v>8072</v>
      </c>
      <c r="R9" s="96">
        <v>0</v>
      </c>
      <c r="S9" s="96">
        <v>0</v>
      </c>
      <c r="T9" s="97">
        <f t="shared" si="6"/>
        <v>15850</v>
      </c>
      <c r="U9" s="96">
        <v>4370</v>
      </c>
      <c r="V9" s="98">
        <v>27014</v>
      </c>
      <c r="W9" s="99"/>
      <c r="X9" s="105">
        <v>0</v>
      </c>
      <c r="Y9" s="96">
        <v>0</v>
      </c>
      <c r="Z9" s="79">
        <v>300000</v>
      </c>
      <c r="AA9" s="79"/>
      <c r="AB9" s="102">
        <v>268870.78999999998</v>
      </c>
      <c r="AC9" s="51"/>
      <c r="AD9" s="106"/>
      <c r="AE9" s="107"/>
    </row>
    <row r="10" ht="24" customHeight="1">
      <c r="B10" s="68" t="s">
        <v>14</v>
      </c>
      <c r="C10" s="2"/>
      <c r="D10" s="108">
        <f t="shared" ref="D10:D11" si="7">1575*0.3</f>
        <v>472.5</v>
      </c>
      <c r="E10" s="109">
        <v>0</v>
      </c>
      <c r="F10" s="109">
        <v>0</v>
      </c>
      <c r="G10" s="109">
        <v>0</v>
      </c>
      <c r="H10" s="109">
        <v>0</v>
      </c>
      <c r="I10" s="94">
        <f t="shared" ref="I10:I11" si="8">1575*0.9</f>
        <v>1417.5</v>
      </c>
      <c r="J10" s="109">
        <v>0</v>
      </c>
      <c r="K10" s="109">
        <v>0</v>
      </c>
      <c r="L10" s="109">
        <f t="shared" ref="L10:L11" si="9">1575*0.2</f>
        <v>315</v>
      </c>
      <c r="M10" s="109">
        <f t="shared" ref="M10:M11" si="10">1575</f>
        <v>1575</v>
      </c>
      <c r="N10" s="110">
        <v>0</v>
      </c>
      <c r="O10" s="94">
        <f t="shared" si="5"/>
        <v>3780</v>
      </c>
      <c r="P10" s="111">
        <f>7778+7907</f>
        <v>15685</v>
      </c>
      <c r="Q10" s="112">
        <f>8072+8306</f>
        <v>16378</v>
      </c>
      <c r="R10" s="112">
        <f>15849/2</f>
        <v>7924.5</v>
      </c>
      <c r="S10" s="112">
        <f>15849/2</f>
        <v>7924.5</v>
      </c>
      <c r="T10" s="113">
        <f t="shared" ref="T10:T12" si="11">SUM(P10:S10)</f>
        <v>47912</v>
      </c>
      <c r="U10" s="112">
        <v>18000</v>
      </c>
      <c r="V10" s="114">
        <v>47911</v>
      </c>
      <c r="X10" s="115">
        <f>(($D10*Rates!$E$25)+(($E10+$G10+$H10+K10+L10+M10)*Rates!$E$23)+(($F10+H10+J10)*Rates!$E$24)*Rates!$I$11)</f>
        <v>112609.22399999999</v>
      </c>
      <c r="Y10" s="112">
        <f t="shared" ref="Y10:Y12" si="12">X10+T10+U10+V10</f>
        <v>226432.22399999999</v>
      </c>
      <c r="Z10" s="79">
        <v>381973.39000000001</v>
      </c>
      <c r="AA10" s="79">
        <f t="shared" ref="AA10:AA12" si="13">Z10-Y10</f>
        <v>155541.16600000003</v>
      </c>
      <c r="AB10" s="116">
        <v>30849.549999999999</v>
      </c>
      <c r="AC10" s="51"/>
      <c r="AD10" s="117">
        <v>1255259.7</v>
      </c>
      <c r="AE10" s="118"/>
    </row>
    <row r="11" ht="15.75" customHeight="1">
      <c r="B11" s="68" t="s">
        <v>15</v>
      </c>
      <c r="C11" s="2"/>
      <c r="D11" s="108">
        <f t="shared" si="7"/>
        <v>472.5</v>
      </c>
      <c r="E11" s="109">
        <v>0</v>
      </c>
      <c r="F11" s="109">
        <v>0</v>
      </c>
      <c r="G11" s="109">
        <v>0</v>
      </c>
      <c r="H11" s="109">
        <v>0</v>
      </c>
      <c r="I11" s="94">
        <f t="shared" si="8"/>
        <v>1417.5</v>
      </c>
      <c r="J11" s="109">
        <v>0</v>
      </c>
      <c r="K11" s="109">
        <v>0</v>
      </c>
      <c r="L11" s="109">
        <f t="shared" si="9"/>
        <v>315</v>
      </c>
      <c r="M11" s="109">
        <f t="shared" si="10"/>
        <v>1575</v>
      </c>
      <c r="N11" s="110">
        <v>0</v>
      </c>
      <c r="O11" s="94">
        <f t="shared" si="5"/>
        <v>3780</v>
      </c>
      <c r="P11" s="111">
        <f>7907+8038.25</f>
        <v>15945.25</v>
      </c>
      <c r="Q11" s="112">
        <f>8548+8306</f>
        <v>16854</v>
      </c>
      <c r="R11" s="112">
        <f>(15849/2)+(16212/2)</f>
        <v>16030.5</v>
      </c>
      <c r="S11" s="112">
        <f>(15849/2)+(16212/2)</f>
        <v>16030.5</v>
      </c>
      <c r="T11" s="113">
        <f t="shared" si="11"/>
        <v>64860.25</v>
      </c>
      <c r="U11" s="112">
        <v>18000</v>
      </c>
      <c r="V11" s="114">
        <v>64860</v>
      </c>
      <c r="X11" s="115">
        <f>(($D11*Rates!$F$25)+(($E11+$G11+$H11+K11+L11+M11)*Rates!$F$23)+(($F11+H11+J11)*Rates!$F$24)*Rates!$I$11)</f>
        <v>117113.59296000001</v>
      </c>
      <c r="Y11" s="112">
        <f t="shared" si="12"/>
        <v>264833.84296000004</v>
      </c>
      <c r="Z11" s="79">
        <v>381973.39000000001</v>
      </c>
      <c r="AA11" s="79">
        <f t="shared" si="13"/>
        <v>117139.54703999998</v>
      </c>
      <c r="AB11" s="116"/>
      <c r="AC11" s="51"/>
      <c r="AD11" s="119"/>
      <c r="AE11" s="119"/>
    </row>
    <row r="12" ht="15.75" customHeight="1">
      <c r="B12" s="68" t="s">
        <v>16</v>
      </c>
      <c r="C12" s="2"/>
      <c r="D12" s="108">
        <f>(1575*0.3)/2</f>
        <v>236.25</v>
      </c>
      <c r="E12" s="109">
        <v>0</v>
      </c>
      <c r="F12" s="109">
        <v>0</v>
      </c>
      <c r="G12" s="109">
        <v>0</v>
      </c>
      <c r="H12" s="109">
        <v>0</v>
      </c>
      <c r="I12" s="94">
        <f>(1575*0.9)/2</f>
        <v>708.75</v>
      </c>
      <c r="J12" s="109">
        <v>0</v>
      </c>
      <c r="K12" s="109">
        <v>0</v>
      </c>
      <c r="L12" s="109">
        <f>(1575*0.2)/2</f>
        <v>157.5</v>
      </c>
      <c r="M12" s="109">
        <f>1575/2</f>
        <v>787.5</v>
      </c>
      <c r="N12" s="110">
        <v>0</v>
      </c>
      <c r="O12" s="94">
        <f t="shared" si="5"/>
        <v>1890</v>
      </c>
      <c r="P12" s="111">
        <f>(8038+8172.25)/2</f>
        <v>8105.125</v>
      </c>
      <c r="Q12" s="112">
        <f>(8548+8800)/2</f>
        <v>8674</v>
      </c>
      <c r="R12" s="112">
        <f>(16212+16587)/2</f>
        <v>16399.5</v>
      </c>
      <c r="S12" s="112">
        <f>(16212+16587)/2</f>
        <v>16399.5</v>
      </c>
      <c r="T12" s="113">
        <f t="shared" si="11"/>
        <v>49578.125</v>
      </c>
      <c r="U12" s="112">
        <v>9000</v>
      </c>
      <c r="V12" s="114">
        <v>33106</v>
      </c>
      <c r="X12" s="115">
        <f>(($D12*Rates!$G$25)+(($E12+$G12+$H12+K12+L12+M12)*Rates!$G$23)+(($F12+H12+J12)*Rates!$G$24)*Rates!$I$11)</f>
        <v>60899.068339200006</v>
      </c>
      <c r="Y12" s="112">
        <f t="shared" si="12"/>
        <v>152583.19333919999</v>
      </c>
      <c r="Z12" s="79">
        <v>95493.350000000006</v>
      </c>
      <c r="AA12" s="79">
        <f t="shared" si="13"/>
        <v>-57089.843339199986</v>
      </c>
      <c r="AB12" s="116"/>
      <c r="AC12" s="51"/>
      <c r="AD12" s="103" t="s">
        <v>141</v>
      </c>
      <c r="AE12" s="104"/>
    </row>
    <row r="13" ht="15.75" customHeight="1">
      <c r="B13" s="68"/>
      <c r="C13" s="120"/>
      <c r="D13" s="108"/>
      <c r="E13" s="94"/>
      <c r="F13" s="94"/>
      <c r="G13" s="94"/>
      <c r="H13" s="94"/>
      <c r="I13" s="94"/>
      <c r="J13" s="94"/>
      <c r="K13" s="94"/>
      <c r="L13" s="94"/>
      <c r="M13" s="94"/>
      <c r="N13" s="121"/>
      <c r="O13" s="94"/>
      <c r="P13" s="122"/>
      <c r="Q13" s="123"/>
      <c r="R13" s="123"/>
      <c r="S13" s="123"/>
      <c r="T13" s="113"/>
      <c r="U13" s="123"/>
      <c r="V13" s="124"/>
      <c r="X13" s="115"/>
      <c r="Y13" s="112"/>
      <c r="Z13" s="79"/>
      <c r="AA13" s="79"/>
      <c r="AB13" s="116"/>
      <c r="AC13" s="125"/>
      <c r="AD13" s="106"/>
      <c r="AE13" s="126"/>
    </row>
    <row r="14" ht="19.5" customHeight="1">
      <c r="B14" s="127" t="s">
        <v>142</v>
      </c>
      <c r="C14" s="2"/>
      <c r="D14" s="128">
        <f t="shared" ref="D14:T14" si="14">SUM(D8:D13)</f>
        <v>2296.25</v>
      </c>
      <c r="E14" s="129">
        <f t="shared" si="14"/>
        <v>949</v>
      </c>
      <c r="F14" s="129">
        <f t="shared" si="14"/>
        <v>0</v>
      </c>
      <c r="G14" s="129">
        <f t="shared" si="14"/>
        <v>780</v>
      </c>
      <c r="H14" s="129">
        <f t="shared" si="14"/>
        <v>0</v>
      </c>
      <c r="I14" s="129">
        <f t="shared" si="14"/>
        <v>5448.75</v>
      </c>
      <c r="J14" s="129">
        <f t="shared" si="14"/>
        <v>10</v>
      </c>
      <c r="K14" s="129">
        <f t="shared" si="14"/>
        <v>58</v>
      </c>
      <c r="L14" s="129">
        <f t="shared" si="14"/>
        <v>1145.5</v>
      </c>
      <c r="M14" s="129">
        <f t="shared" si="14"/>
        <v>6139.5</v>
      </c>
      <c r="N14" s="130">
        <f t="shared" si="14"/>
        <v>251</v>
      </c>
      <c r="O14" s="129">
        <f t="shared" si="14"/>
        <v>17078</v>
      </c>
      <c r="P14" s="131">
        <f t="shared" si="14"/>
        <v>47513.375</v>
      </c>
      <c r="Q14" s="132">
        <f t="shared" si="14"/>
        <v>49978</v>
      </c>
      <c r="R14" s="132">
        <f t="shared" si="14"/>
        <v>40354.5</v>
      </c>
      <c r="S14" s="132">
        <f t="shared" si="14"/>
        <v>40354.5</v>
      </c>
      <c r="T14" s="133">
        <f t="shared" si="14"/>
        <v>178200.375</v>
      </c>
      <c r="U14" s="132">
        <f>SUM(U8:U13)</f>
        <v>49997</v>
      </c>
      <c r="V14" s="133">
        <f>SUM(V8:V13)</f>
        <v>173106</v>
      </c>
      <c r="X14" s="134">
        <f>SUM(X8:X12)</f>
        <v>290621.88529920002</v>
      </c>
      <c r="Y14" s="135">
        <f>SUM(Y8:Y12)</f>
        <v>643849.26029919996</v>
      </c>
      <c r="Z14" s="136">
        <f>SUM(Z8:Z12)</f>
        <v>1159440.1300000001</v>
      </c>
      <c r="AA14" s="136"/>
      <c r="AB14" s="134">
        <f>SUM(AB8:AB13)</f>
        <v>395539.90999999997</v>
      </c>
      <c r="AC14" s="125"/>
      <c r="AD14" s="117">
        <f>(Y10-AB10)+Y11+Y12+AB14</f>
        <v>1008539.6202992001</v>
      </c>
      <c r="AE14" s="118"/>
    </row>
    <row r="15" ht="15.75" customHeight="1">
      <c r="AC15" s="125"/>
      <c r="AD15" s="137"/>
      <c r="AE15" s="137"/>
    </row>
    <row r="16" ht="15.75" customHeight="1">
      <c r="Y16" s="138"/>
      <c r="AD16" s="137"/>
      <c r="AE16" s="137"/>
    </row>
    <row r="17" ht="22.5" customHeight="1">
      <c r="AC17" s="125"/>
    </row>
  </sheetData>
  <mergeCells count="13">
    <mergeCell ref="AD16:AE16"/>
    <mergeCell ref="P6:T6"/>
    <mergeCell ref="AD8:AE8"/>
    <mergeCell ref="AD10:AE10"/>
    <mergeCell ref="AD12:AE12"/>
    <mergeCell ref="AD14:AE14"/>
    <mergeCell ref="AD15:AE15"/>
    <mergeCell ref="B1:AF2"/>
    <mergeCell ref="B4:B5"/>
    <mergeCell ref="D4:V4"/>
    <mergeCell ref="X4:Y4"/>
    <mergeCell ref="Z4:AA4"/>
    <mergeCell ref="AD4:AE5"/>
  </mergeCells>
  <conditionalFormatting sqref="AD13">
    <cfRule type="iconSet" priority="4">
      <iconSet iconSet="3Arrows">
        <cfvo type="percent" val="0"/>
        <cfvo type="percentile" gte="0" val="1"/>
        <cfvo type="percentile" gte="0" val="10"/>
      </iconSet>
    </cfRule>
  </conditionalFormatting>
  <conditionalFormatting sqref="AD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9C762C19-3AC1-4C02-AC7C-3CC77693BF89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AB8:AB13</xm:sqref>
        </x14:conditionalFormatting>
        <x14:conditionalFormatting xmlns:xm="http://schemas.microsoft.com/office/excel/2006/main">
          <x14:cfRule type="cellIs" priority="3" operator="lessThan" id="{EDC67D89-C088-40D4-B181-0F8338EB71F8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AB8:AB13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70" workbookViewId="0">
      <selection activeCell="L12" activeCellId="0" sqref="L12"/>
    </sheetView>
  </sheetViews>
  <sheetFormatPr defaultColWidth="11" defaultRowHeight="15.75" customHeight="1"/>
  <cols>
    <col customWidth="1" hidden="1" min="1" max="1" width="0"/>
    <col bestFit="1" customWidth="1" min="2" max="2" width="7.63671875"/>
    <col customWidth="1" min="3" max="3" width="4.25"/>
    <col customWidth="1" min="4" max="19" width="7.625"/>
    <col customWidth="1" hidden="1" min="20" max="21" width="12.20703125"/>
    <col customWidth="1" hidden="1" min="22" max="23" width="12.3359375"/>
    <col customWidth="1" min="24" max="24" width="13.4453125"/>
    <col bestFit="1" customWidth="1" min="25" max="26" width="13.21484375"/>
    <col customWidth="1" min="27" max="27" width="4"/>
    <col customWidth="1" min="28" max="28" width="19"/>
    <col customWidth="1" min="29" max="29" width="16.5"/>
    <col customWidth="1" min="30" max="31" style="40" width="16.5"/>
    <col customWidth="1" min="32" max="32" style="41" width="13.875"/>
    <col customWidth="1" min="33" max="33" width="2.5"/>
    <col customWidth="1" min="34" max="34" width="15.875"/>
    <col customWidth="1" min="35" max="35" width="16.875"/>
    <col customWidth="1" min="36" max="36" width="3.375"/>
  </cols>
  <sheetData>
    <row r="1" ht="15.75" customHeight="1">
      <c r="B1" s="42" t="s">
        <v>103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4" s="2" customFormat="1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9"/>
      <c r="AB4" s="47" t="s">
        <v>106</v>
      </c>
      <c r="AC4" s="49"/>
      <c r="AD4" s="47" t="s">
        <v>107</v>
      </c>
      <c r="AE4" s="49"/>
      <c r="AF4" s="50" t="s">
        <v>108</v>
      </c>
      <c r="AG4" s="51"/>
      <c r="AH4" s="52" t="s">
        <v>109</v>
      </c>
      <c r="AI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112</v>
      </c>
      <c r="I5" s="56" t="s">
        <v>114</v>
      </c>
      <c r="J5" s="56" t="s">
        <v>114</v>
      </c>
      <c r="K5" s="56" t="s">
        <v>143</v>
      </c>
      <c r="L5" s="56" t="s">
        <v>144</v>
      </c>
      <c r="M5" s="56" t="s">
        <v>145</v>
      </c>
      <c r="N5" s="56" t="s">
        <v>115</v>
      </c>
      <c r="O5" s="56" t="s">
        <v>116</v>
      </c>
      <c r="P5" s="56" t="s">
        <v>117</v>
      </c>
      <c r="Q5" s="56" t="s">
        <v>118</v>
      </c>
      <c r="R5" s="56" t="s">
        <v>119</v>
      </c>
      <c r="S5" s="57" t="s">
        <v>120</v>
      </c>
      <c r="T5" s="58" t="s">
        <v>121</v>
      </c>
      <c r="U5" s="59" t="s">
        <v>122</v>
      </c>
      <c r="V5" s="59" t="s">
        <v>123</v>
      </c>
      <c r="W5" s="59" t="s">
        <v>124</v>
      </c>
      <c r="X5" s="60" t="s">
        <v>125</v>
      </c>
      <c r="Y5" s="55" t="s">
        <v>126</v>
      </c>
      <c r="Z5" s="61" t="s">
        <v>127</v>
      </c>
      <c r="AB5" s="62" t="s">
        <v>128</v>
      </c>
      <c r="AC5" s="62" t="s">
        <v>129</v>
      </c>
      <c r="AD5" s="63" t="s">
        <v>130</v>
      </c>
      <c r="AE5" s="64" t="s">
        <v>131</v>
      </c>
      <c r="AF5" s="65" t="s">
        <v>132</v>
      </c>
      <c r="AG5" s="51"/>
      <c r="AH5" s="66"/>
      <c r="AI5" s="67"/>
    </row>
    <row r="6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32</v>
      </c>
      <c r="I6" s="70" t="s">
        <v>37</v>
      </c>
      <c r="J6" s="70" t="s">
        <v>35</v>
      </c>
      <c r="K6" s="70" t="s">
        <v>32</v>
      </c>
      <c r="L6" s="70" t="s">
        <v>22</v>
      </c>
      <c r="M6" s="70" t="s">
        <v>146</v>
      </c>
      <c r="N6" s="70" t="s">
        <v>22</v>
      </c>
      <c r="O6" s="70" t="s">
        <v>37</v>
      </c>
      <c r="P6" s="70" t="s">
        <v>34</v>
      </c>
      <c r="Q6" s="70" t="s">
        <v>34</v>
      </c>
      <c r="R6" s="71" t="s">
        <v>34</v>
      </c>
      <c r="S6" s="51"/>
      <c r="T6" s="72" t="s">
        <v>137</v>
      </c>
      <c r="U6" s="73"/>
      <c r="V6" s="73"/>
      <c r="W6" s="73"/>
      <c r="X6" s="74"/>
      <c r="Y6" s="75"/>
      <c r="Z6" s="76"/>
      <c r="AB6" s="77"/>
      <c r="AC6" s="51"/>
      <c r="AD6" s="78"/>
      <c r="AE6" s="79"/>
      <c r="AF6" s="80"/>
      <c r="AG6" s="51"/>
      <c r="AH6" s="81"/>
      <c r="AI6" s="81"/>
    </row>
    <row r="7" ht="16.5">
      <c r="B7" s="68" t="s">
        <v>138</v>
      </c>
      <c r="C7" s="2"/>
      <c r="D7" s="82">
        <v>0.29999999999999999</v>
      </c>
      <c r="E7" s="83">
        <v>0</v>
      </c>
      <c r="F7" s="83">
        <v>0</v>
      </c>
      <c r="G7" s="83">
        <v>0</v>
      </c>
      <c r="H7" s="83">
        <v>0</v>
      </c>
      <c r="I7" s="83">
        <v>0.90000000000000002</v>
      </c>
      <c r="J7" s="83">
        <v>0.90000000000000002</v>
      </c>
      <c r="K7" s="83">
        <v>1</v>
      </c>
      <c r="L7" s="83">
        <v>1</v>
      </c>
      <c r="M7" s="83">
        <v>1</v>
      </c>
      <c r="N7" s="83">
        <v>0</v>
      </c>
      <c r="O7" s="83">
        <v>0</v>
      </c>
      <c r="P7" s="83">
        <v>0.20000000000000001</v>
      </c>
      <c r="Q7" s="83">
        <v>1</v>
      </c>
      <c r="R7" s="84">
        <v>0</v>
      </c>
      <c r="S7" s="51"/>
      <c r="T7" s="85"/>
      <c r="U7" s="86"/>
      <c r="V7" s="86"/>
      <c r="W7" s="86"/>
      <c r="X7" s="87"/>
      <c r="Y7" s="88"/>
      <c r="Z7" s="89"/>
      <c r="AB7" s="90"/>
      <c r="AC7" s="51"/>
      <c r="AD7" s="79"/>
      <c r="AE7" s="79"/>
      <c r="AF7" s="80"/>
      <c r="AG7" s="51"/>
      <c r="AH7" s="81"/>
      <c r="AI7" s="81"/>
    </row>
    <row r="8" ht="16.5">
      <c r="B8" s="68" t="s">
        <v>139</v>
      </c>
      <c r="C8" s="2"/>
      <c r="D8" s="91">
        <v>24</v>
      </c>
      <c r="E8" s="92">
        <v>0</v>
      </c>
      <c r="F8" s="92">
        <v>0</v>
      </c>
      <c r="G8" s="92">
        <v>0</v>
      </c>
      <c r="H8" s="92">
        <v>0</v>
      </c>
      <c r="I8" s="92">
        <v>948</v>
      </c>
      <c r="J8" s="92">
        <v>0</v>
      </c>
      <c r="K8" s="92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809</v>
      </c>
      <c r="R8" s="93">
        <v>0</v>
      </c>
      <c r="S8" s="94">
        <f t="shared" ref="S8:S9" si="15">SUM(D8:R8)</f>
        <v>1781</v>
      </c>
      <c r="T8" s="95"/>
      <c r="U8" s="96"/>
      <c r="V8" s="96"/>
      <c r="W8" s="96"/>
      <c r="X8" s="97">
        <f t="shared" ref="X8:X9" si="16">SUM(T8:W8)</f>
        <v>0</v>
      </c>
      <c r="Y8" s="96">
        <v>627</v>
      </c>
      <c r="Z8" s="98">
        <v>215</v>
      </c>
      <c r="AA8" s="99"/>
      <c r="AB8" s="100">
        <v>0</v>
      </c>
      <c r="AC8" s="101">
        <v>0</v>
      </c>
      <c r="AD8" s="79">
        <v>0</v>
      </c>
      <c r="AE8" s="79"/>
      <c r="AF8" s="102">
        <v>95819.570000000007</v>
      </c>
      <c r="AG8" s="51"/>
      <c r="AH8" s="103" t="s">
        <v>140</v>
      </c>
      <c r="AI8" s="104"/>
    </row>
    <row r="9" ht="16.5">
      <c r="B9" s="68" t="s">
        <v>13</v>
      </c>
      <c r="C9" s="2"/>
      <c r="D9" s="91">
        <v>1091</v>
      </c>
      <c r="E9" s="92">
        <v>949</v>
      </c>
      <c r="F9" s="92">
        <v>0</v>
      </c>
      <c r="G9" s="92">
        <v>780</v>
      </c>
      <c r="H9" s="92">
        <v>780</v>
      </c>
      <c r="I9" s="92">
        <v>957</v>
      </c>
      <c r="J9" s="92">
        <v>0</v>
      </c>
      <c r="K9" s="92">
        <v>0</v>
      </c>
      <c r="L9" s="92">
        <v>0</v>
      </c>
      <c r="M9" s="92">
        <v>0</v>
      </c>
      <c r="N9" s="92">
        <v>10</v>
      </c>
      <c r="O9" s="92">
        <v>58</v>
      </c>
      <c r="P9" s="92">
        <v>358</v>
      </c>
      <c r="Q9" s="92">
        <v>1393</v>
      </c>
      <c r="R9" s="93">
        <v>251</v>
      </c>
      <c r="S9" s="94">
        <f t="shared" si="15"/>
        <v>6627</v>
      </c>
      <c r="T9" s="95">
        <v>7778</v>
      </c>
      <c r="U9" s="96">
        <v>8072</v>
      </c>
      <c r="V9" s="96">
        <v>0</v>
      </c>
      <c r="W9" s="96">
        <v>0</v>
      </c>
      <c r="X9" s="97">
        <f t="shared" si="16"/>
        <v>15850</v>
      </c>
      <c r="Y9" s="96">
        <v>4370</v>
      </c>
      <c r="Z9" s="98">
        <v>27014</v>
      </c>
      <c r="AA9" s="99"/>
      <c r="AB9" s="105">
        <v>0</v>
      </c>
      <c r="AC9" s="96">
        <v>0</v>
      </c>
      <c r="AD9" s="79">
        <v>300000</v>
      </c>
      <c r="AE9" s="79"/>
      <c r="AF9" s="102">
        <v>268870.78999999998</v>
      </c>
      <c r="AG9" s="51"/>
      <c r="AH9" s="106"/>
      <c r="AI9" s="107"/>
    </row>
    <row r="10" ht="24" customHeight="1">
      <c r="B10" s="68" t="s">
        <v>14</v>
      </c>
      <c r="C10" s="2"/>
      <c r="D10" s="108">
        <f t="shared" ref="D10:D11" si="17">1575*0.3</f>
        <v>472.5</v>
      </c>
      <c r="E10" s="109">
        <v>0</v>
      </c>
      <c r="F10" s="109">
        <v>0</v>
      </c>
      <c r="G10" s="109">
        <v>0</v>
      </c>
      <c r="H10" s="109">
        <v>0</v>
      </c>
      <c r="I10" s="94">
        <v>0</v>
      </c>
      <c r="J10" s="94">
        <f>1575*0.6</f>
        <v>945</v>
      </c>
      <c r="K10" s="94">
        <f>1575*5/12</f>
        <v>656.25</v>
      </c>
      <c r="L10" s="94">
        <v>0</v>
      </c>
      <c r="M10" s="94">
        <v>0</v>
      </c>
      <c r="N10" s="109">
        <v>0</v>
      </c>
      <c r="O10" s="109">
        <v>0</v>
      </c>
      <c r="P10" s="109">
        <f>1575*0.3</f>
        <v>472.5</v>
      </c>
      <c r="Q10" s="109">
        <f>1575*4/12*0.8</f>
        <v>420</v>
      </c>
      <c r="R10" s="110">
        <v>0</v>
      </c>
      <c r="S10" s="94">
        <f t="shared" ref="S10:S12" si="18">SUM(D10:R10)</f>
        <v>2966.25</v>
      </c>
      <c r="T10" s="111">
        <f>7778+7907</f>
        <v>15685</v>
      </c>
      <c r="U10" s="112">
        <f>8072+8306</f>
        <v>16378</v>
      </c>
      <c r="V10" s="112">
        <f>15849/2</f>
        <v>7924.5</v>
      </c>
      <c r="W10" s="112">
        <f>15849/2</f>
        <v>7924.5</v>
      </c>
      <c r="X10" s="113">
        <f t="shared" ref="X10:X12" si="19">SUM(T10:W10)</f>
        <v>47912</v>
      </c>
      <c r="Y10" s="112">
        <v>15000</v>
      </c>
      <c r="Z10" s="114">
        <v>0</v>
      </c>
      <c r="AB10" s="115">
        <f>((($D10*Rates!$E$25)+($E10*Rates!$E$23)+($F10*Rates!$E$24)+($G10*Rates!$E$23)+($H10*Rates!$J$22)+($I10*Rates!$E$24)+($J10*Rates!$J$23)+($K10*Rates!$J$22)+($L10*Rates!$E$16)+($P10*Rates!$E$23)+($Q10*Rates!$E$23))*Rates!$I$11)</f>
        <v>227717.24429999999</v>
      </c>
      <c r="AC10" s="112">
        <f t="shared" ref="AC10:AC12" si="20">AB10+X10+Y10+Z10</f>
        <v>290629.24430000002</v>
      </c>
      <c r="AD10" s="79">
        <v>381973.39000000001</v>
      </c>
      <c r="AE10" s="79">
        <f t="shared" ref="AE10:AE12" si="21">AD10-AC10</f>
        <v>91344.145699999994</v>
      </c>
      <c r="AF10" s="116">
        <v>30849.549999999999</v>
      </c>
      <c r="AG10" s="51"/>
      <c r="AH10" s="117">
        <v>1255259.7</v>
      </c>
      <c r="AI10" s="118"/>
    </row>
    <row r="11" ht="15.75" customHeight="1">
      <c r="B11" s="68" t="s">
        <v>15</v>
      </c>
      <c r="C11" s="2"/>
      <c r="D11" s="108">
        <f t="shared" si="17"/>
        <v>472.5</v>
      </c>
      <c r="E11" s="109">
        <v>0</v>
      </c>
      <c r="F11" s="109">
        <v>0</v>
      </c>
      <c r="G11" s="109">
        <v>0</v>
      </c>
      <c r="H11" s="109">
        <v>0</v>
      </c>
      <c r="I11" s="94">
        <v>0</v>
      </c>
      <c r="J11" s="94">
        <f>1575*0.9</f>
        <v>1417.5</v>
      </c>
      <c r="K11" s="94">
        <v>1575</v>
      </c>
      <c r="L11" s="94">
        <v>0</v>
      </c>
      <c r="M11" s="94">
        <v>0</v>
      </c>
      <c r="N11" s="109">
        <v>0</v>
      </c>
      <c r="O11" s="109">
        <v>0</v>
      </c>
      <c r="P11" s="109">
        <f>0.1*1575</f>
        <v>157.5</v>
      </c>
      <c r="Q11" s="109">
        <v>0</v>
      </c>
      <c r="R11" s="110">
        <v>0</v>
      </c>
      <c r="S11" s="94">
        <f t="shared" si="18"/>
        <v>3622.5</v>
      </c>
      <c r="T11" s="111">
        <f>7907+8038.25</f>
        <v>15945.25</v>
      </c>
      <c r="U11" s="112">
        <f>8548+8306</f>
        <v>16854</v>
      </c>
      <c r="V11" s="112">
        <f>(15849/2)+(16212/2)</f>
        <v>16030.5</v>
      </c>
      <c r="W11" s="112">
        <f>(15849/2)+(16212/2)</f>
        <v>16030.5</v>
      </c>
      <c r="X11" s="113">
        <f t="shared" si="19"/>
        <v>64860.25</v>
      </c>
      <c r="Y11" s="112">
        <v>15000</v>
      </c>
      <c r="Z11" s="114">
        <v>0</v>
      </c>
      <c r="AB11" s="115">
        <f>((($D11*Rates!$F$25)+($E11*Rates!$F$23)+($F11*Rates!$F$24)+($G11*Rates!$F$23)+($H11*Rates!$K$22)+($I11*Rates!$F$24)+($J11*Rates!$K$23)+($K11*Rates!$K$22)+($L11*Rates!$F$16)+($P11*Rates!$F$23)+($Q11*Rates!$F$23))*Rates!$I$11)</f>
        <v>301024.419696</v>
      </c>
      <c r="AC11" s="112">
        <f t="shared" si="20"/>
        <v>380884.669696</v>
      </c>
      <c r="AD11" s="79">
        <v>381973.39000000001</v>
      </c>
      <c r="AE11" s="79">
        <f t="shared" si="21"/>
        <v>1088.7203040000168</v>
      </c>
      <c r="AF11" s="116"/>
      <c r="AG11" s="51"/>
      <c r="AH11" s="119"/>
      <c r="AI11" s="119"/>
    </row>
    <row r="12" ht="15.75" customHeight="1">
      <c r="B12" s="68" t="s">
        <v>16</v>
      </c>
      <c r="C12" s="2"/>
      <c r="D12" s="108">
        <f>1575*5/12*0.3</f>
        <v>196.875</v>
      </c>
      <c r="E12" s="109">
        <v>0</v>
      </c>
      <c r="F12" s="109">
        <v>0</v>
      </c>
      <c r="G12" s="109">
        <v>0</v>
      </c>
      <c r="H12" s="109">
        <v>0</v>
      </c>
      <c r="I12" s="94">
        <v>0</v>
      </c>
      <c r="J12" s="94">
        <f>1575*5/12*0.9</f>
        <v>590.625</v>
      </c>
      <c r="K12" s="94">
        <f>1575*5/12</f>
        <v>656.25</v>
      </c>
      <c r="L12" s="94">
        <v>0</v>
      </c>
      <c r="M12" s="94">
        <v>0</v>
      </c>
      <c r="N12" s="109">
        <v>0</v>
      </c>
      <c r="O12" s="109">
        <v>0</v>
      </c>
      <c r="P12" s="109">
        <f>1575*5/12*0.1</f>
        <v>65.625</v>
      </c>
      <c r="Q12" s="109">
        <v>0</v>
      </c>
      <c r="R12" s="110">
        <v>0</v>
      </c>
      <c r="S12" s="94">
        <f t="shared" si="18"/>
        <v>1509.375</v>
      </c>
      <c r="T12" s="111">
        <f>(8038+8172.25)/2</f>
        <v>8105.125</v>
      </c>
      <c r="U12" s="112">
        <f>(8548+8800)/2</f>
        <v>8674</v>
      </c>
      <c r="V12" s="112">
        <f>(16212+16587)/2</f>
        <v>16399.5</v>
      </c>
      <c r="W12" s="112">
        <f>(16212+16587)/2</f>
        <v>16399.5</v>
      </c>
      <c r="X12" s="113">
        <f t="shared" si="19"/>
        <v>49578.125</v>
      </c>
      <c r="Y12" s="112">
        <v>7500</v>
      </c>
      <c r="Z12" s="114">
        <v>0</v>
      </c>
      <c r="AB12" s="115">
        <f>((($D12*Rates!$G$25)+($E12*Rates!$G$23)+($F12*Rates!$G$24)+($G12*Rates!$G$23)+($H12*Rates!$L$22)+($I12*Rates!$G$24)+($J12*Rates!$L$23)+($K12*Rates!$L$22)+($L12*Rates!$G$16)+($P12*Rates!$G$23)+($Q12*Rates!$G$23))*Rates!$I$11)</f>
        <v>130443.9152016</v>
      </c>
      <c r="AC12" s="112">
        <f t="shared" si="20"/>
        <v>187522.0402016</v>
      </c>
      <c r="AD12" s="79">
        <v>95493.350000000006</v>
      </c>
      <c r="AE12" s="79">
        <f t="shared" si="21"/>
        <v>-92028.690201599995</v>
      </c>
      <c r="AF12" s="116"/>
      <c r="AG12" s="51"/>
      <c r="AH12" s="103" t="s">
        <v>141</v>
      </c>
      <c r="AI12" s="104"/>
    </row>
    <row r="13" ht="15.75" customHeight="1">
      <c r="B13" s="68"/>
      <c r="C13" s="120"/>
      <c r="D13" s="108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121"/>
      <c r="S13" s="94"/>
      <c r="T13" s="122"/>
      <c r="U13" s="123"/>
      <c r="V13" s="123"/>
      <c r="W13" s="123"/>
      <c r="X13" s="113"/>
      <c r="Y13" s="123"/>
      <c r="Z13" s="124"/>
      <c r="AB13" s="115"/>
      <c r="AC13" s="112"/>
      <c r="AD13" s="79"/>
      <c r="AE13" s="79"/>
      <c r="AF13" s="116"/>
      <c r="AG13" s="125"/>
      <c r="AH13" s="106"/>
      <c r="AI13" s="126"/>
    </row>
    <row r="14" ht="19.5" customHeight="1">
      <c r="B14" s="127" t="s">
        <v>142</v>
      </c>
      <c r="C14" s="2"/>
      <c r="D14" s="128">
        <f t="shared" ref="D14:S14" si="22">SUM(D8:D13)</f>
        <v>2256.875</v>
      </c>
      <c r="E14" s="129">
        <f t="shared" si="22"/>
        <v>949</v>
      </c>
      <c r="F14" s="129">
        <f t="shared" si="22"/>
        <v>0</v>
      </c>
      <c r="G14" s="129">
        <f>SUM(G8:G13)</f>
        <v>780</v>
      </c>
      <c r="H14" s="129">
        <f t="shared" si="22"/>
        <v>780</v>
      </c>
      <c r="I14" s="129">
        <f t="shared" si="22"/>
        <v>1905</v>
      </c>
      <c r="J14" s="129">
        <f>SUM(J8:J13)</f>
        <v>2953.125</v>
      </c>
      <c r="K14" s="129">
        <f>SUM(K8:K13)</f>
        <v>2887.5</v>
      </c>
      <c r="L14" s="129">
        <f>SUM(L8:L13)</f>
        <v>0</v>
      </c>
      <c r="M14" s="129">
        <f>SUM(M8:M13)</f>
        <v>0</v>
      </c>
      <c r="N14" s="129">
        <f t="shared" si="22"/>
        <v>10</v>
      </c>
      <c r="O14" s="129">
        <f t="shared" si="22"/>
        <v>58</v>
      </c>
      <c r="P14" s="129">
        <f t="shared" si="22"/>
        <v>1053.625</v>
      </c>
      <c r="Q14" s="129">
        <f t="shared" si="22"/>
        <v>2622</v>
      </c>
      <c r="R14" s="130">
        <f t="shared" si="22"/>
        <v>251</v>
      </c>
      <c r="S14" s="129">
        <f t="shared" si="22"/>
        <v>16506.125</v>
      </c>
      <c r="T14" s="131">
        <f t="shared" ref="T14:X14" si="23">SUM(T8:T13)</f>
        <v>47513.375</v>
      </c>
      <c r="U14" s="132">
        <f t="shared" si="23"/>
        <v>49978</v>
      </c>
      <c r="V14" s="132">
        <f t="shared" si="23"/>
        <v>40354.5</v>
      </c>
      <c r="W14" s="132">
        <f t="shared" si="23"/>
        <v>40354.5</v>
      </c>
      <c r="X14" s="133">
        <f t="shared" si="23"/>
        <v>178200.375</v>
      </c>
      <c r="Y14" s="132">
        <f>SUM(Y8:Y13)</f>
        <v>42497</v>
      </c>
      <c r="Z14" s="133">
        <f>SUM(Z8:Z13)</f>
        <v>27229</v>
      </c>
      <c r="AB14" s="134">
        <f>SUM(AB8:AB12)</f>
        <v>659185.57919760002</v>
      </c>
      <c r="AC14" s="135">
        <f>SUM(AC8:AC12)</f>
        <v>859035.95419760002</v>
      </c>
      <c r="AD14" s="136">
        <f>SUM(AD8:AD12)</f>
        <v>1159440.1300000001</v>
      </c>
      <c r="AE14" s="136"/>
      <c r="AF14" s="134">
        <f>SUM(AF8:AF13)</f>
        <v>395539.90999999997</v>
      </c>
      <c r="AG14" s="125"/>
      <c r="AH14" s="117">
        <f>(AC10-AF10)+AC11+AC12+AF14</f>
        <v>1223726.3141975999</v>
      </c>
      <c r="AI14" s="118"/>
    </row>
    <row r="15" ht="15.75" customHeight="1">
      <c r="K15" t="s">
        <v>147</v>
      </c>
      <c r="L15" s="139"/>
      <c r="M15" s="139"/>
      <c r="Q15" t="s">
        <v>148</v>
      </c>
      <c r="Z15" t="s">
        <v>149</v>
      </c>
      <c r="AG15" s="125"/>
      <c r="AH15" s="137"/>
      <c r="AI15" s="137"/>
    </row>
    <row r="16" ht="15.75" customHeight="1">
      <c r="AC16" s="138"/>
      <c r="AH16" s="137"/>
      <c r="AI16" s="137"/>
    </row>
    <row r="17" ht="22.5" customHeight="1">
      <c r="J17" s="140"/>
      <c r="K17" s="141"/>
      <c r="L17" s="141"/>
      <c r="M17" s="141"/>
      <c r="N17" s="142"/>
      <c r="AB17" s="140"/>
      <c r="AC17" s="140"/>
      <c r="AD17" s="140"/>
      <c r="AE17" s="141"/>
      <c r="AF17" s="143"/>
      <c r="AG17" s="125"/>
    </row>
    <row r="18" ht="15.75" customHeight="1">
      <c r="J18" s="140"/>
      <c r="K18" s="140"/>
      <c r="L18" s="140"/>
      <c r="M18" s="140"/>
      <c r="N18" s="140"/>
      <c r="AB18" s="140"/>
      <c r="AC18" s="140"/>
      <c r="AD18" s="140"/>
      <c r="AE18" s="140"/>
      <c r="AF18" s="144"/>
    </row>
    <row r="19" ht="15.75" customHeight="1">
      <c r="J19" s="140"/>
      <c r="K19" s="140"/>
      <c r="L19" s="140"/>
      <c r="M19" s="140"/>
      <c r="N19" s="140"/>
      <c r="AB19" s="140"/>
      <c r="AC19" s="140"/>
      <c r="AD19" s="140"/>
      <c r="AE19" s="140"/>
      <c r="AF19" s="144"/>
    </row>
    <row r="20" ht="15.75" customHeight="1">
      <c r="J20" s="145"/>
      <c r="K20" s="140"/>
      <c r="L20" s="140"/>
      <c r="M20" s="140"/>
      <c r="N20" s="140"/>
      <c r="AB20" s="140"/>
      <c r="AC20" s="140"/>
      <c r="AD20" s="140"/>
      <c r="AE20" s="140"/>
      <c r="AF20" s="144"/>
    </row>
    <row r="21" ht="15.75" customHeight="1">
      <c r="J21" s="145"/>
      <c r="K21" s="138"/>
      <c r="L21" s="138"/>
      <c r="M21" s="138"/>
      <c r="N21" s="138"/>
      <c r="AB21" s="140"/>
      <c r="AC21" s="140"/>
      <c r="AD21" s="140"/>
      <c r="AE21" s="140"/>
      <c r="AF21" s="144"/>
    </row>
    <row r="22" ht="15.75" customHeight="1">
      <c r="J22" s="140"/>
      <c r="K22" s="146"/>
      <c r="L22" s="146"/>
      <c r="M22" s="146"/>
      <c r="N22" s="146"/>
      <c r="AB22" s="140"/>
      <c r="AC22" s="140"/>
      <c r="AD22" s="140"/>
      <c r="AE22" s="140"/>
      <c r="AF22" s="144"/>
    </row>
    <row r="23" ht="15.75" customHeight="1">
      <c r="J23" s="140"/>
      <c r="K23" s="147"/>
      <c r="L23" s="147"/>
      <c r="M23" s="147"/>
      <c r="N23" s="147"/>
      <c r="AB23" s="140"/>
      <c r="AC23" s="140"/>
      <c r="AD23" s="140"/>
      <c r="AE23" s="140"/>
      <c r="AF23" s="144"/>
    </row>
    <row r="24" ht="15.75" customHeight="1">
      <c r="J24" s="140"/>
      <c r="K24" s="142"/>
      <c r="L24" s="142"/>
      <c r="M24" s="142"/>
      <c r="N24" s="142"/>
      <c r="AB24" s="140"/>
      <c r="AC24" s="140"/>
      <c r="AD24" s="140"/>
      <c r="AE24" s="140"/>
      <c r="AF24" s="144"/>
    </row>
    <row r="25" ht="15.75" customHeight="1">
      <c r="J25" s="140"/>
      <c r="K25" s="142"/>
      <c r="L25" s="142"/>
      <c r="M25" s="142"/>
      <c r="N25" s="142"/>
      <c r="AB25" s="140"/>
      <c r="AC25" s="140"/>
      <c r="AD25" s="140"/>
      <c r="AE25" s="140"/>
      <c r="AF25" s="144"/>
    </row>
    <row r="26" ht="15.75" customHeight="1">
      <c r="J26" s="140"/>
      <c r="K26" s="142"/>
      <c r="L26" s="142"/>
      <c r="M26" s="142"/>
      <c r="N26" s="142"/>
      <c r="AB26" s="140"/>
      <c r="AC26" s="140"/>
      <c r="AD26" s="140"/>
      <c r="AE26" s="140"/>
      <c r="AF26" s="144"/>
    </row>
  </sheetData>
  <mergeCells count="13">
    <mergeCell ref="B1:AJ2"/>
    <mergeCell ref="B4:B5"/>
    <mergeCell ref="D4:Z4"/>
    <mergeCell ref="AB4:AC4"/>
    <mergeCell ref="AD4:AE4"/>
    <mergeCell ref="AH4:AI5"/>
    <mergeCell ref="T6:X6"/>
    <mergeCell ref="AH8:AI8"/>
    <mergeCell ref="AH10:AI10"/>
    <mergeCell ref="AH12:AI12"/>
    <mergeCell ref="AH14:AI14"/>
    <mergeCell ref="AH15:AI15"/>
    <mergeCell ref="AH16:AI16"/>
  </mergeCells>
  <conditionalFormatting sqref="AH13">
    <cfRule type="iconSet" priority="5">
      <iconSet iconSet="3Arrows">
        <cfvo type="percent" val="0"/>
        <cfvo type="percentile" gte="0" val="1"/>
        <cfvo type="percentile" gte="0" val="10"/>
      </iconSet>
    </cfRule>
  </conditionalFormatting>
  <conditionalFormatting sqref="AH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B774E662-6A37-40F2-B320-5CD85A768F0D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AF8:AF13</xm:sqref>
        </x14:conditionalFormatting>
        <x14:conditionalFormatting xmlns:xm="http://schemas.microsoft.com/office/excel/2006/main">
          <x14:cfRule type="cellIs" priority="4" operator="lessThan" id="{A2415FB9-097E-4030-AE1B-8727A4877F58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AF8:AF13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H37" activeCellId="0" sqref="H37"/>
    </sheetView>
  </sheetViews>
  <sheetFormatPr defaultColWidth="11" defaultRowHeight="15.75" customHeight="1"/>
  <cols>
    <col customWidth="1" min="2" max="2" width="13.625"/>
    <col customWidth="1" min="3" max="3" width="4.25"/>
    <col customWidth="1" min="13" max="14" width="13.5"/>
    <col customWidth="1" min="15" max="15" width="4"/>
    <col customWidth="1" min="16" max="17" style="142" width="17.375"/>
    <col customWidth="1" min="18" max="18" style="41" width="13.875"/>
    <col customWidth="1" min="19" max="19" width="2.5"/>
    <col customWidth="1" min="20" max="20" width="15.875"/>
    <col customWidth="1" min="21" max="21" width="16.875"/>
    <col customWidth="1" min="22" max="22" width="3.375"/>
  </cols>
  <sheetData>
    <row r="1" ht="15.75" customHeight="1">
      <c r="B1" s="42" t="s">
        <v>150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4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9"/>
      <c r="L4" s="148"/>
      <c r="M4" s="47" t="s">
        <v>151</v>
      </c>
      <c r="N4" s="49"/>
      <c r="P4" s="149"/>
      <c r="Q4" s="150"/>
      <c r="R4" s="151"/>
      <c r="S4" s="51"/>
      <c r="T4" s="52" t="s">
        <v>152</v>
      </c>
      <c r="U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153</v>
      </c>
      <c r="I5" s="56" t="s">
        <v>119</v>
      </c>
      <c r="J5" s="56" t="s">
        <v>154</v>
      </c>
      <c r="K5" s="56" t="s">
        <v>113</v>
      </c>
      <c r="L5" s="57" t="s">
        <v>155</v>
      </c>
      <c r="M5" s="55" t="s">
        <v>126</v>
      </c>
      <c r="N5" s="61" t="s">
        <v>127</v>
      </c>
      <c r="P5" s="152" t="s">
        <v>156</v>
      </c>
      <c r="Q5" s="153" t="s">
        <v>157</v>
      </c>
      <c r="R5" s="65" t="s">
        <v>158</v>
      </c>
      <c r="S5" s="51"/>
      <c r="T5" s="66"/>
      <c r="U5" s="67"/>
    </row>
    <row r="6" ht="16.5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/>
      <c r="I6" s="70"/>
      <c r="J6" s="70" t="s">
        <v>22</v>
      </c>
      <c r="K6" s="70" t="s">
        <v>135</v>
      </c>
      <c r="L6" s="154"/>
      <c r="M6" s="69"/>
      <c r="N6" s="71"/>
      <c r="P6" s="155"/>
      <c r="Q6" s="155"/>
      <c r="R6" s="156"/>
      <c r="S6" s="51"/>
      <c r="T6" s="81"/>
      <c r="U6" s="81"/>
    </row>
    <row r="7" ht="16.5">
      <c r="B7" s="68" t="s">
        <v>139</v>
      </c>
      <c r="C7" s="2"/>
      <c r="D7" s="91">
        <v>874</v>
      </c>
      <c r="E7" s="92">
        <v>527</v>
      </c>
      <c r="F7" s="92">
        <v>0</v>
      </c>
      <c r="G7" s="92">
        <v>0</v>
      </c>
      <c r="H7" s="92">
        <v>0</v>
      </c>
      <c r="I7" s="92">
        <v>570</v>
      </c>
      <c r="J7" s="92">
        <v>0</v>
      </c>
      <c r="K7" s="92">
        <v>0</v>
      </c>
      <c r="L7" s="154"/>
      <c r="M7" s="95">
        <v>642</v>
      </c>
      <c r="N7" s="98">
        <v>5232</v>
      </c>
      <c r="P7" s="102">
        <v>0</v>
      </c>
      <c r="Q7" s="102">
        <v>0</v>
      </c>
      <c r="R7" s="157">
        <v>116616.82000000001</v>
      </c>
      <c r="S7" s="51"/>
      <c r="T7" s="103" t="s">
        <v>159</v>
      </c>
      <c r="U7" s="104"/>
    </row>
    <row r="8" ht="16.5">
      <c r="B8" s="68" t="s">
        <v>13</v>
      </c>
      <c r="C8" s="2"/>
      <c r="D8" s="91">
        <v>1091</v>
      </c>
      <c r="E8" s="92">
        <v>949</v>
      </c>
      <c r="F8" s="92">
        <v>0</v>
      </c>
      <c r="G8" s="92">
        <v>780</v>
      </c>
      <c r="H8" s="92">
        <v>7</v>
      </c>
      <c r="I8" s="92">
        <v>251</v>
      </c>
      <c r="J8" s="92">
        <v>0</v>
      </c>
      <c r="K8" s="92">
        <v>1575</v>
      </c>
      <c r="L8" s="154"/>
      <c r="M8" s="95">
        <v>5048</v>
      </c>
      <c r="N8" s="98">
        <v>17738</v>
      </c>
      <c r="P8" s="105">
        <v>0</v>
      </c>
      <c r="Q8" s="105">
        <v>0</v>
      </c>
      <c r="R8" s="157">
        <v>211853.97</v>
      </c>
      <c r="S8" s="51"/>
      <c r="T8" s="106"/>
      <c r="U8" s="107"/>
    </row>
    <row r="9" ht="24" customHeight="1">
      <c r="B9" s="68" t="s">
        <v>14</v>
      </c>
      <c r="C9" s="2"/>
      <c r="D9" s="108">
        <f t="shared" ref="D9:D10" si="24">1575*0.6</f>
        <v>945</v>
      </c>
      <c r="E9" s="109">
        <v>0</v>
      </c>
      <c r="F9" s="109">
        <v>1575</v>
      </c>
      <c r="G9" s="109">
        <f t="shared" ref="G9:G10" si="25">1575*0.7</f>
        <v>1102.5</v>
      </c>
      <c r="H9" s="109">
        <v>0</v>
      </c>
      <c r="I9" s="109">
        <v>0</v>
      </c>
      <c r="J9" s="109">
        <v>787</v>
      </c>
      <c r="K9" s="109">
        <v>120</v>
      </c>
      <c r="L9" s="108">
        <f>SUM(D9:K9)</f>
        <v>4529.5</v>
      </c>
      <c r="M9" s="111">
        <v>32492</v>
      </c>
      <c r="N9" s="114">
        <v>32492</v>
      </c>
      <c r="P9" s="115">
        <f>((((D9*Rates!$E$25)+('June  26 - UKRI'!F9*Rates!$E$24)+(('June  26 - UKRI'!G9+'June  26 - UKRI'!K9)*Rates!$E$23)+('June  26 - UKRI'!J9*Rates!$E$16))*Rates!$I$11)*0.8)+M9+N9</f>
        <v>324242.73791999999</v>
      </c>
      <c r="Q9" s="115">
        <f>((((E9*Rates!$E$25)+('June  26 - UKRI'!G9*Rates!$E$24)+(('June  26 - UKRI'!H9+'June  26 - UKRI'!L9)*Rates!$E$23)+('June  26 - UKRI'!K9*Rates!$E$16))*Rates!$I$11)*0.2)</f>
        <v>71705.037039999996</v>
      </c>
      <c r="R9" s="158">
        <v>43314</v>
      </c>
      <c r="S9" s="51"/>
      <c r="T9" s="117">
        <v>1605398</v>
      </c>
      <c r="U9" s="118"/>
    </row>
    <row r="10" ht="15.75" customHeight="1">
      <c r="B10" s="68" t="s">
        <v>15</v>
      </c>
      <c r="C10" s="2"/>
      <c r="D10" s="108">
        <f t="shared" si="24"/>
        <v>945</v>
      </c>
      <c r="E10" s="109">
        <v>0</v>
      </c>
      <c r="F10" s="109">
        <v>1575</v>
      </c>
      <c r="G10" s="109">
        <f t="shared" si="25"/>
        <v>1102.5</v>
      </c>
      <c r="H10" s="109">
        <v>0</v>
      </c>
      <c r="I10" s="109">
        <v>0</v>
      </c>
      <c r="J10" s="109">
        <v>1575</v>
      </c>
      <c r="K10" s="109">
        <v>0</v>
      </c>
      <c r="L10" s="108">
        <f t="shared" ref="L10:L11" si="26">SUM(D10:K10)</f>
        <v>5197.5</v>
      </c>
      <c r="M10" s="111">
        <v>32492</v>
      </c>
      <c r="N10" s="114">
        <v>32492</v>
      </c>
      <c r="P10" s="115">
        <f>((((D10*Rates!$F$25)+('June  26 - UKRI'!F10*Rates!$F$24)+(('June  26 - UKRI'!G10+'June  26 - UKRI'!K10)*Rates!$F$23)+('June  26 - UKRI'!J10*Rates!$F$16))*Rates!$I$11)*0.8)+M10+N10</f>
        <v>358188.95626240002</v>
      </c>
      <c r="Q10" s="115">
        <f>((((E10*Rates!$F$25)+('June  26 - UKRI'!G10*Rates!$F$24)+(('June  26 - UKRI'!H10+'June  26 - UKRI'!L10)*Rates!$F$23)+('June  26 - UKRI'!K10*Rates!$F$16))*Rates!$I$11)*0.2)</f>
        <v>81625.114771199995</v>
      </c>
      <c r="R10" s="158"/>
      <c r="S10" s="51"/>
      <c r="T10" s="119"/>
      <c r="U10" s="119"/>
    </row>
    <row r="11" ht="15.75" customHeight="1">
      <c r="B11" s="68" t="s">
        <v>16</v>
      </c>
      <c r="C11" s="2"/>
      <c r="D11" s="108">
        <f>((1575/12)*3)*0.6</f>
        <v>236.25</v>
      </c>
      <c r="E11" s="109">
        <v>0</v>
      </c>
      <c r="F11" s="109">
        <f>(1575/12)*3</f>
        <v>393.75</v>
      </c>
      <c r="G11" s="94">
        <f>((1575/12)*3)*0.7</f>
        <v>275.625</v>
      </c>
      <c r="H11" s="94">
        <v>0</v>
      </c>
      <c r="I11" s="94">
        <v>0</v>
      </c>
      <c r="J11" s="109">
        <f>(1575/12)*3</f>
        <v>393.75</v>
      </c>
      <c r="K11" s="109">
        <v>0</v>
      </c>
      <c r="L11" s="108">
        <f t="shared" si="26"/>
        <v>1299.375</v>
      </c>
      <c r="M11" s="111">
        <v>29555</v>
      </c>
      <c r="N11" s="114">
        <v>29555</v>
      </c>
      <c r="P11" s="115">
        <f>((((D11*Rates!$G$25)+('June  26 - UKRI'!F11*Rates!$G$24)+(('June  26 - UKRI'!G11+'June  26 - UKRI'!K11)*Rates!$G$23)+('June  26 - UKRI'!J11*Rates!$G$16))*Rates!$I$11)*0.8)+M11+N11</f>
        <v>135343.28862822402</v>
      </c>
      <c r="Q11" s="115">
        <f>((((E11*Rates!$G$25)+('June  26 - UKRI'!G11*Rates!$G$24)+(('June  26 - UKRI'!H11+'June  26 - UKRI'!L11)*Rates!$G$23)+('June  26 - UKRI'!K11*Rates!$G$16))*Rates!$I$11)*0.2)</f>
        <v>21222.529840512005</v>
      </c>
      <c r="R11" s="158"/>
      <c r="S11" s="51"/>
      <c r="T11" s="103" t="s">
        <v>141</v>
      </c>
      <c r="U11" s="104"/>
    </row>
    <row r="12" ht="15.75" customHeight="1">
      <c r="B12" s="159"/>
      <c r="C12" s="120"/>
      <c r="D12" s="108"/>
      <c r="E12" s="94"/>
      <c r="F12" s="94"/>
      <c r="G12" s="94"/>
      <c r="H12" s="94"/>
      <c r="I12" s="94"/>
      <c r="J12" s="94"/>
      <c r="K12" s="94"/>
      <c r="L12" s="108"/>
      <c r="M12" s="111"/>
      <c r="N12" s="114"/>
      <c r="P12" s="115"/>
      <c r="Q12" s="115"/>
      <c r="R12" s="158"/>
      <c r="S12" s="125"/>
      <c r="T12" s="160"/>
      <c r="U12" s="161"/>
    </row>
    <row r="13" ht="24.75">
      <c r="B13" s="127" t="s">
        <v>142</v>
      </c>
      <c r="C13" s="2"/>
      <c r="D13" s="128">
        <f>SUM(D7:D12)</f>
        <v>4091.25</v>
      </c>
      <c r="E13" s="129">
        <f t="shared" ref="E13:K13" si="27">SUM(E7:E12)</f>
        <v>1476</v>
      </c>
      <c r="F13" s="129">
        <f t="shared" si="27"/>
        <v>3543.75</v>
      </c>
      <c r="G13" s="129">
        <f t="shared" si="27"/>
        <v>3260.625</v>
      </c>
      <c r="H13" s="129">
        <f t="shared" si="27"/>
        <v>7</v>
      </c>
      <c r="I13" s="129">
        <f t="shared" si="27"/>
        <v>821</v>
      </c>
      <c r="J13" s="129">
        <f t="shared" si="27"/>
        <v>2755.75</v>
      </c>
      <c r="K13" s="129">
        <f t="shared" si="27"/>
        <v>1695</v>
      </c>
      <c r="L13" s="128">
        <f>SUM(L9:L12)</f>
        <v>11026.375</v>
      </c>
      <c r="M13" s="131">
        <f>SUM(M7:M12)</f>
        <v>100229</v>
      </c>
      <c r="N13" s="133">
        <f>SUM(N7:N12)</f>
        <v>117509</v>
      </c>
      <c r="P13" s="134">
        <f>SUM(P7:P11)</f>
        <v>817774.98281062406</v>
      </c>
      <c r="Q13" s="134">
        <f>SUM(Q7:Q11)</f>
        <v>174552.68165171199</v>
      </c>
      <c r="R13" s="162">
        <f>SUM(R7:R12)</f>
        <v>371784.79000000004</v>
      </c>
      <c r="S13" s="125"/>
      <c r="T13" s="117">
        <f>(P13-R9)+R13</f>
        <v>1146245.772810624</v>
      </c>
      <c r="U13" s="118"/>
    </row>
    <row r="14" ht="19.5" customHeight="1">
      <c r="S14" s="125"/>
    </row>
    <row r="15" ht="15.75" customHeight="1">
      <c r="P15" s="138"/>
      <c r="Q15" s="138"/>
      <c r="S15" s="125"/>
      <c r="T15" s="103" t="s">
        <v>160</v>
      </c>
      <c r="U15" s="104"/>
    </row>
    <row r="16" ht="15.75" customHeight="1">
      <c r="P16" s="141"/>
      <c r="S16" s="125"/>
      <c r="T16" s="160"/>
      <c r="U16" s="161"/>
    </row>
    <row r="17" ht="25.5" customHeight="1">
      <c r="P17" s="138"/>
      <c r="Q17" s="138"/>
      <c r="S17" s="125"/>
      <c r="T17" s="117">
        <f>T9-T13</f>
        <v>459152.22718937602</v>
      </c>
      <c r="U17" s="118"/>
    </row>
    <row r="18" ht="15.75" customHeight="1">
      <c r="M18" s="163"/>
      <c r="N18" s="163"/>
      <c r="P18" s="138"/>
      <c r="Q18" s="138"/>
      <c r="S18" s="125"/>
      <c r="T18" s="164"/>
      <c r="U18" s="164"/>
    </row>
    <row r="19" ht="15.75" customHeight="1">
      <c r="M19" s="163"/>
      <c r="N19" s="163"/>
      <c r="O19" s="145"/>
      <c r="P19"/>
      <c r="Q19"/>
      <c r="S19" s="125"/>
      <c r="T19" s="137"/>
      <c r="U19" s="137"/>
    </row>
    <row r="20" ht="15.75" customHeight="1">
      <c r="M20" s="163"/>
      <c r="N20" s="163"/>
      <c r="O20" s="145"/>
      <c r="P20" s="138"/>
      <c r="Q20" s="138"/>
      <c r="S20" s="125"/>
      <c r="T20" s="137"/>
      <c r="U20" s="137"/>
    </row>
    <row r="21" ht="18" customHeight="1">
      <c r="P21" s="146"/>
      <c r="Q21" s="146"/>
      <c r="R21" s="147"/>
      <c r="S21" s="147"/>
      <c r="T21" s="147"/>
      <c r="U21" s="147"/>
      <c r="V21" s="147"/>
      <c r="W21" s="147"/>
      <c r="X21" s="147"/>
      <c r="Y21" s="147"/>
      <c r="Z21" s="147"/>
    </row>
    <row r="22" ht="24" customHeight="1"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ht="19.5" customHeight="1">
      <c r="S23" s="125"/>
      <c r="U23" s="165"/>
    </row>
    <row r="24" ht="15.75" customHeight="1">
      <c r="S24" s="125"/>
      <c r="T24" s="137"/>
      <c r="U24" s="137"/>
    </row>
    <row r="25" ht="15.75" customHeight="1">
      <c r="T25" s="137"/>
      <c r="U25" s="137"/>
    </row>
    <row r="26" ht="22.5" customHeight="1">
      <c r="S26" s="125"/>
      <c r="T26" s="166"/>
      <c r="U26" s="166"/>
    </row>
  </sheetData>
  <mergeCells count="18">
    <mergeCell ref="T16:U16"/>
    <mergeCell ref="T17:U17"/>
    <mergeCell ref="T19:U19"/>
    <mergeCell ref="T24:U24"/>
    <mergeCell ref="T25:U25"/>
    <mergeCell ref="T26:U26"/>
    <mergeCell ref="T7:U7"/>
    <mergeCell ref="T9:U9"/>
    <mergeCell ref="T11:U11"/>
    <mergeCell ref="T12:U12"/>
    <mergeCell ref="T13:U13"/>
    <mergeCell ref="T15:U15"/>
    <mergeCell ref="B1:V2"/>
    <mergeCell ref="B4:B5"/>
    <mergeCell ref="D4:K4"/>
    <mergeCell ref="M4:N4"/>
    <mergeCell ref="P4:R4"/>
    <mergeCell ref="T4:U5"/>
  </mergeCells>
  <conditionalFormatting sqref="T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T25">
    <cfRule type="iconSet" priority="3">
      <iconSet iconSet="3Arrows">
        <cfvo type="percent" val="0"/>
        <cfvo type="percentile" gte="0" val="1"/>
        <cfvo type="percentile" gte="0" val="10"/>
      </iconSet>
    </cfRule>
  </conditionalFormatting>
  <conditionalFormatting sqref="T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greaterThan" id="{56719C55-C7D7-4C1B-A0B7-77007CC7BA72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R7:R12</xm:sqref>
        </x14:conditionalFormatting>
        <x14:conditionalFormatting xmlns:xm="http://schemas.microsoft.com/office/excel/2006/main">
          <x14:cfRule type="cellIs" priority="5" operator="lessThan" id="{E0FAA2EB-774A-48D7-8414-9E848F18917D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R7:R12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5" zoomScale="70" workbookViewId="0">
      <selection activeCell="E35" activeCellId="0" sqref="E35"/>
    </sheetView>
  </sheetViews>
  <sheetFormatPr defaultColWidth="11" defaultRowHeight="15.75" customHeight="1"/>
  <cols>
    <col customWidth="1" hidden="1" min="1" max="1" width="0"/>
    <col bestFit="1" customWidth="1" min="2" max="2" width="7.63671875"/>
    <col customWidth="1" min="3" max="3" width="4.25"/>
    <col customWidth="1" min="4" max="15" width="6.77734375"/>
    <col customWidth="1" min="16" max="16" width="7.6640625"/>
    <col customWidth="1" min="17" max="18" width="13.5"/>
    <col customWidth="1" min="19" max="19" width="4"/>
    <col customWidth="1" min="20" max="21" style="142" width="17.375"/>
    <col customWidth="1" min="22" max="22" style="41" width="13.875"/>
    <col customWidth="1" min="23" max="23" width="2.5"/>
    <col customWidth="1" min="24" max="24" width="15.875"/>
    <col customWidth="1" min="25" max="25" width="16.875"/>
    <col customWidth="1" min="26" max="26" width="3.375"/>
  </cols>
  <sheetData>
    <row r="1" ht="15.75" customHeight="1">
      <c r="B1" s="42" t="s">
        <v>150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4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  <c r="P4" s="148"/>
      <c r="Q4" s="47" t="s">
        <v>151</v>
      </c>
      <c r="R4" s="49"/>
      <c r="T4" s="149"/>
      <c r="U4" s="150"/>
      <c r="V4" s="151"/>
      <c r="W4" s="51"/>
      <c r="X4" s="52" t="s">
        <v>152</v>
      </c>
      <c r="Y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112</v>
      </c>
      <c r="I5" s="56" t="s">
        <v>153</v>
      </c>
      <c r="J5" s="56" t="s">
        <v>119</v>
      </c>
      <c r="K5" s="56" t="s">
        <v>161</v>
      </c>
      <c r="L5" s="56" t="s">
        <v>113</v>
      </c>
      <c r="M5" s="56" t="s">
        <v>162</v>
      </c>
      <c r="N5" s="56" t="s">
        <v>163</v>
      </c>
      <c r="O5" s="56" t="s">
        <v>164</v>
      </c>
      <c r="P5" s="57" t="s">
        <v>155</v>
      </c>
      <c r="Q5" s="55" t="s">
        <v>126</v>
      </c>
      <c r="R5" s="61" t="s">
        <v>127</v>
      </c>
      <c r="T5" s="152" t="s">
        <v>156</v>
      </c>
      <c r="U5" s="153" t="s">
        <v>157</v>
      </c>
      <c r="V5" s="65" t="s">
        <v>158</v>
      </c>
      <c r="W5" s="51"/>
      <c r="X5" s="66"/>
      <c r="Y5" s="67"/>
    </row>
    <row r="6" ht="16.5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32</v>
      </c>
      <c r="I6" s="70" t="s">
        <v>165</v>
      </c>
      <c r="J6" s="70" t="s">
        <v>165</v>
      </c>
      <c r="K6" s="70" t="s">
        <v>22</v>
      </c>
      <c r="L6" s="70" t="s">
        <v>135</v>
      </c>
      <c r="M6" s="70" t="s">
        <v>165</v>
      </c>
      <c r="N6" s="70" t="s">
        <v>135</v>
      </c>
      <c r="O6" s="70" t="s">
        <v>135</v>
      </c>
      <c r="P6" s="154"/>
      <c r="Q6" s="69"/>
      <c r="R6" s="71"/>
      <c r="T6" s="155"/>
      <c r="U6" s="155"/>
      <c r="V6" s="156"/>
      <c r="W6" s="51"/>
      <c r="X6" s="81"/>
      <c r="Y6" s="81"/>
    </row>
    <row r="7" ht="16.5">
      <c r="B7" s="68" t="s">
        <v>139</v>
      </c>
      <c r="C7" s="2"/>
      <c r="D7" s="91">
        <v>874</v>
      </c>
      <c r="E7" s="92">
        <v>527</v>
      </c>
      <c r="F7" s="92">
        <v>0</v>
      </c>
      <c r="G7" s="92">
        <v>0</v>
      </c>
      <c r="H7" s="92">
        <v>0</v>
      </c>
      <c r="I7" s="92">
        <v>0</v>
      </c>
      <c r="J7" s="92">
        <v>570</v>
      </c>
      <c r="K7" s="92">
        <v>0</v>
      </c>
      <c r="L7" s="92">
        <v>0</v>
      </c>
      <c r="M7" s="92"/>
      <c r="N7" s="92">
        <v>0</v>
      </c>
      <c r="O7" s="92">
        <v>0</v>
      </c>
      <c r="P7" s="154"/>
      <c r="Q7" s="95">
        <v>642</v>
      </c>
      <c r="R7" s="98">
        <v>5232</v>
      </c>
      <c r="T7" s="102">
        <v>0</v>
      </c>
      <c r="U7" s="102">
        <v>0</v>
      </c>
      <c r="V7" s="157">
        <v>116616.82000000001</v>
      </c>
      <c r="W7" s="51"/>
      <c r="X7" s="103" t="s">
        <v>159</v>
      </c>
      <c r="Y7" s="104"/>
    </row>
    <row r="8" ht="16.5">
      <c r="B8" s="68" t="s">
        <v>13</v>
      </c>
      <c r="C8" s="2"/>
      <c r="D8" s="91">
        <v>1091</v>
      </c>
      <c r="E8" s="92">
        <v>949</v>
      </c>
      <c r="F8" s="92">
        <v>0</v>
      </c>
      <c r="G8" s="92">
        <v>780</v>
      </c>
      <c r="H8" s="92">
        <v>780</v>
      </c>
      <c r="I8" s="92">
        <v>7</v>
      </c>
      <c r="J8" s="92">
        <v>251</v>
      </c>
      <c r="K8" s="92">
        <v>0</v>
      </c>
      <c r="L8" s="92">
        <f>1575/2*3/5</f>
        <v>472.5</v>
      </c>
      <c r="M8" s="92"/>
      <c r="N8" s="92">
        <v>0</v>
      </c>
      <c r="O8" s="92">
        <v>0</v>
      </c>
      <c r="P8" s="154"/>
      <c r="Q8" s="95">
        <v>5048</v>
      </c>
      <c r="R8" s="98">
        <v>17738</v>
      </c>
      <c r="T8" s="105">
        <v>0</v>
      </c>
      <c r="U8" s="105">
        <v>0</v>
      </c>
      <c r="V8" s="157">
        <v>211853.97</v>
      </c>
      <c r="W8" s="51"/>
      <c r="X8" s="106"/>
      <c r="Y8" s="107"/>
    </row>
    <row r="9" ht="24" customHeight="1">
      <c r="B9" s="68" t="s">
        <v>14</v>
      </c>
      <c r="C9" s="2"/>
      <c r="D9" s="108">
        <f t="shared" ref="D9:D10" si="28">1575*0.6</f>
        <v>945</v>
      </c>
      <c r="E9" s="109">
        <f>1575*6/12</f>
        <v>787.5</v>
      </c>
      <c r="F9" s="109">
        <f>1575*6/12</f>
        <v>787.5</v>
      </c>
      <c r="G9" s="109">
        <f>1575*6/12*0.7</f>
        <v>551.25</v>
      </c>
      <c r="H9" s="109">
        <f>1575*6/12*0.7</f>
        <v>551.25</v>
      </c>
      <c r="I9" s="109">
        <v>0</v>
      </c>
      <c r="J9" s="109">
        <v>0</v>
      </c>
      <c r="K9" s="109">
        <f>787*2</f>
        <v>1574</v>
      </c>
      <c r="L9" s="109">
        <f>1575*6/12*3/5</f>
        <v>472.5</v>
      </c>
      <c r="M9" s="109">
        <f>2*1575*9/12</f>
        <v>2362.5</v>
      </c>
      <c r="N9" s="109">
        <f>1575*6/12*0.6</f>
        <v>472.5</v>
      </c>
      <c r="O9" s="109">
        <f>1575*8/12*0.4</f>
        <v>420</v>
      </c>
      <c r="P9" s="108">
        <f>SUM(D9:O9)</f>
        <v>8924</v>
      </c>
      <c r="Q9" s="111">
        <v>6000</v>
      </c>
      <c r="R9" s="114">
        <v>20000</v>
      </c>
      <c r="T9" s="115">
        <f>(((((D9*Rates!$E$25)+(UKRI!E9*Rates!$E$23)+(UKRI!F9*Rates!$E$24)+(UKRI!G9*Rates!$E$23)+(UKRI!H9*Rates!$J$22)+(UKRI!K9*Rates!$E$16)+(UKRI!L9*Rates!$E$23)+(UKRI!M9*Rates!$J$25)+(UKRI!N9*Rates!$E$23)+(UKRI!O9*Rates!$E$23))*Rates!$I$11)+Q9+R9)*0.8)</f>
        <v>398812.05175999994</v>
      </c>
      <c r="U9" s="115">
        <f>T9/0.8*0.2</f>
        <v>99703.012939999986</v>
      </c>
      <c r="V9" s="158">
        <v>43314</v>
      </c>
      <c r="W9" s="51"/>
      <c r="X9" s="117">
        <v>1605398</v>
      </c>
      <c r="Y9" s="118"/>
    </row>
    <row r="10" ht="15.75" customHeight="1">
      <c r="B10" s="68" t="s">
        <v>15</v>
      </c>
      <c r="C10" s="2"/>
      <c r="D10" s="108">
        <f t="shared" si="28"/>
        <v>945</v>
      </c>
      <c r="E10" s="109">
        <v>0</v>
      </c>
      <c r="F10" s="109">
        <v>1575</v>
      </c>
      <c r="G10" s="109">
        <v>0</v>
      </c>
      <c r="H10" s="109">
        <v>1575</v>
      </c>
      <c r="I10" s="109">
        <v>0</v>
      </c>
      <c r="J10" s="109">
        <v>0</v>
      </c>
      <c r="K10" s="109">
        <f>1575*2</f>
        <v>3150</v>
      </c>
      <c r="L10" s="109">
        <v>0</v>
      </c>
      <c r="M10" s="109">
        <f>2*1575*3/12</f>
        <v>787.5</v>
      </c>
      <c r="N10" s="109">
        <v>0</v>
      </c>
      <c r="O10" s="109">
        <v>0</v>
      </c>
      <c r="P10" s="108">
        <f t="shared" ref="P10:P11" si="29">SUM(D10:O10)</f>
        <v>8032.5</v>
      </c>
      <c r="Q10" s="111">
        <v>6000</v>
      </c>
      <c r="R10" s="114">
        <v>20000</v>
      </c>
      <c r="T10" s="115">
        <f>(((((D10*Rates!$F$25)+(UKRI!E10*Rates!$F$23)+(UKRI!F10*Rates!$F$24)+(UKRI!G10*Rates!$F$23)+(UKRI!H10*Rates!$K$22)+(UKRI!K10*Rates!$F$16)+(UKRI!L10*Rates!$F$23)+(UKRI!M10*Rates!$K$25)+(UKRI!N10*Rates!$F$23)+(UKRI!O10*Rates!$F$23))*Rates!$I$11)+Q10+R10)*0.8)</f>
        <v>422839.73322240007</v>
      </c>
      <c r="U10" s="115">
        <f t="shared" ref="U10:U11" si="30">T10/0.8*0.2</f>
        <v>105709.93330560002</v>
      </c>
      <c r="V10" s="158"/>
      <c r="W10" s="51"/>
      <c r="X10" s="119"/>
      <c r="Y10" s="119"/>
    </row>
    <row r="11" ht="15.75" customHeight="1">
      <c r="B11" s="68" t="s">
        <v>16</v>
      </c>
      <c r="C11" s="2"/>
      <c r="D11" s="108">
        <f>1575*5/12*0.6</f>
        <v>393.75</v>
      </c>
      <c r="E11" s="109">
        <v>0</v>
      </c>
      <c r="F11" s="109">
        <f>1575*5/12</f>
        <v>656.25</v>
      </c>
      <c r="G11" s="94">
        <v>0</v>
      </c>
      <c r="H11" s="109">
        <f>1575*5/12</f>
        <v>656.25</v>
      </c>
      <c r="I11" s="94">
        <v>0</v>
      </c>
      <c r="J11" s="94">
        <v>0</v>
      </c>
      <c r="K11" s="109">
        <f>1575*5/12*2</f>
        <v>1312.5</v>
      </c>
      <c r="L11" s="109"/>
      <c r="M11" s="109">
        <v>0</v>
      </c>
      <c r="N11" s="109">
        <v>0</v>
      </c>
      <c r="O11" s="109">
        <v>0</v>
      </c>
      <c r="P11" s="108">
        <f t="shared" si="29"/>
        <v>3018.75</v>
      </c>
      <c r="Q11" s="111">
        <v>6000</v>
      </c>
      <c r="R11" s="114">
        <v>20000</v>
      </c>
      <c r="T11" s="115">
        <f>(((((D11*Rates!$G$25)+(UKRI!E11*Rates!$G$23)+(UKRI!F11*Rates!$G$24)+(UKRI!G11*Rates!$G$23)+(UKRI!H11*Rates!$I$22)+(UKRI!K11*Rates!$G$16)+(UKRI!L11*Rates!$G$23)+(UKRI!M10*Rates!$L$25)+(UKRI!N11*Rates!$G$23)+(UKRI!O11*Rates!$G$23))*Rates!$I$11)+Q11+R11)*0.8)</f>
        <v>199097.58965984001</v>
      </c>
      <c r="U11" s="115">
        <f t="shared" si="30"/>
        <v>49774.397414960004</v>
      </c>
      <c r="V11" s="158"/>
      <c r="W11" s="51"/>
      <c r="X11" s="103" t="s">
        <v>141</v>
      </c>
      <c r="Y11" s="104"/>
    </row>
    <row r="12" ht="15.75" customHeight="1">
      <c r="B12" s="159"/>
      <c r="C12" s="120"/>
      <c r="D12" s="108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108"/>
      <c r="Q12" s="111"/>
      <c r="R12" s="114"/>
      <c r="T12" s="115"/>
      <c r="U12" s="115"/>
      <c r="V12" s="158"/>
      <c r="W12" s="125"/>
      <c r="X12" s="160"/>
      <c r="Y12" s="161"/>
    </row>
    <row r="13" ht="21.75">
      <c r="B13" s="127" t="s">
        <v>142</v>
      </c>
      <c r="C13" s="2"/>
      <c r="D13" s="128">
        <f>SUM(D7:D12)</f>
        <v>4248.75</v>
      </c>
      <c r="E13" s="129">
        <f t="shared" ref="E13:K13" si="31">SUM(E7:E12)</f>
        <v>2263.5</v>
      </c>
      <c r="F13" s="129">
        <f t="shared" si="31"/>
        <v>3018.75</v>
      </c>
      <c r="G13" s="129">
        <f>SUM(G7:G12)</f>
        <v>1331.25</v>
      </c>
      <c r="H13" s="129">
        <f t="shared" si="31"/>
        <v>3562.5</v>
      </c>
      <c r="I13" s="129">
        <f t="shared" si="31"/>
        <v>7</v>
      </c>
      <c r="J13" s="129">
        <f t="shared" si="31"/>
        <v>821</v>
      </c>
      <c r="K13" s="129">
        <f t="shared" si="31"/>
        <v>6036.5</v>
      </c>
      <c r="L13" s="129">
        <f>SUM(L7:L12)</f>
        <v>945</v>
      </c>
      <c r="M13" s="129">
        <f>SUM(M7:M12)</f>
        <v>3150</v>
      </c>
      <c r="N13" s="129">
        <f>SUM(N7:N12)</f>
        <v>472.5</v>
      </c>
      <c r="O13" s="129">
        <f>SUM(O7:O12)</f>
        <v>420</v>
      </c>
      <c r="P13" s="128">
        <f>SUM(P9:P12)</f>
        <v>19975.25</v>
      </c>
      <c r="Q13" s="131">
        <f>SUM(Q7:Q12)</f>
        <v>23690</v>
      </c>
      <c r="R13" s="133">
        <f>SUM(R7:R12)</f>
        <v>82970</v>
      </c>
      <c r="T13" s="134">
        <f>SUM(T7:T11)</f>
        <v>1020749.37464224</v>
      </c>
      <c r="U13" s="134">
        <f>SUM(U7:U11)</f>
        <v>255187.34366056</v>
      </c>
      <c r="V13" s="162">
        <f>SUM(V7:V12)</f>
        <v>371784.79000000004</v>
      </c>
      <c r="W13" s="125"/>
      <c r="X13" s="117">
        <f>(T13-V9)+V13</f>
        <v>1349220.1646422399</v>
      </c>
      <c r="Y13" s="118"/>
    </row>
    <row r="14" ht="19.5" customHeight="1">
      <c r="U14" s="142"/>
      <c r="V14" s="41"/>
      <c r="W14" s="125"/>
    </row>
    <row r="15" ht="15.75" customHeight="1">
      <c r="M15" s="139"/>
      <c r="T15" s="138"/>
      <c r="U15" s="138"/>
      <c r="W15" s="125"/>
      <c r="X15" s="103" t="s">
        <v>160</v>
      </c>
      <c r="Y15" s="104"/>
    </row>
    <row r="16" ht="15.75" customHeight="1">
      <c r="M16" s="139"/>
      <c r="T16" s="142"/>
      <c r="U16" s="2" t="s">
        <v>166</v>
      </c>
      <c r="W16" s="125"/>
      <c r="X16" s="160"/>
      <c r="Y16" s="161"/>
    </row>
    <row r="17" ht="25.5" customHeight="1">
      <c r="D17" s="2" t="s">
        <v>167</v>
      </c>
      <c r="M17" s="139"/>
      <c r="T17" s="139" t="s">
        <v>145</v>
      </c>
      <c r="U17" s="139" t="s">
        <v>168</v>
      </c>
      <c r="V17" s="41"/>
      <c r="W17" s="125"/>
      <c r="X17" s="117">
        <f>X9-X13</f>
        <v>256177.83535776008</v>
      </c>
      <c r="Y17" s="118"/>
    </row>
    <row r="18" ht="15.75" customHeight="1">
      <c r="D18">
        <v>1</v>
      </c>
      <c r="E18" t="s">
        <v>169</v>
      </c>
      <c r="M18" s="139"/>
      <c r="T18" s="140" t="s">
        <v>32</v>
      </c>
      <c r="U18" s="139" t="s">
        <v>170</v>
      </c>
      <c r="W18" s="125"/>
      <c r="X18" s="164"/>
      <c r="Y18" s="164"/>
    </row>
    <row r="19" ht="15.75" customHeight="1">
      <c r="D19">
        <v>2</v>
      </c>
      <c r="E19" t="s">
        <v>171</v>
      </c>
      <c r="M19" s="139"/>
      <c r="S19" s="145"/>
      <c r="T19" s="140" t="s">
        <v>35</v>
      </c>
      <c r="U19" s="139" t="s">
        <v>172</v>
      </c>
      <c r="V19" s="147"/>
      <c r="W19" s="125"/>
      <c r="X19" s="137"/>
      <c r="Y19" s="137"/>
    </row>
    <row r="20" ht="15.75" customHeight="1">
      <c r="D20">
        <v>3</v>
      </c>
      <c r="E20" t="s">
        <v>173</v>
      </c>
      <c r="M20" s="139"/>
      <c r="S20" s="145"/>
      <c r="T20"/>
      <c r="U20"/>
      <c r="V20" s="147"/>
      <c r="W20" s="125"/>
      <c r="X20" s="137"/>
      <c r="Y20" s="137"/>
    </row>
    <row r="21" ht="18" customHeight="1">
      <c r="M21" s="139"/>
      <c r="R21" s="140"/>
      <c r="T21" s="142"/>
      <c r="U21" s="2" t="s">
        <v>166</v>
      </c>
      <c r="W21" s="147"/>
      <c r="X21" s="140"/>
      <c r="Y21" s="147"/>
      <c r="Z21" s="147"/>
      <c r="AA21" s="147"/>
      <c r="AB21" s="147"/>
      <c r="AC21" s="147"/>
      <c r="AD21" s="147"/>
    </row>
    <row r="22" ht="24" customHeight="1">
      <c r="D22" s="2" t="s">
        <v>174</v>
      </c>
      <c r="M22" s="139"/>
      <c r="Q22" s="140"/>
      <c r="R22" s="140"/>
      <c r="T22" t="s">
        <v>22</v>
      </c>
      <c r="U22" t="s">
        <v>175</v>
      </c>
      <c r="W22" s="147"/>
      <c r="X22" s="140"/>
      <c r="Y22" s="147"/>
      <c r="Z22" s="147"/>
      <c r="AA22" s="147"/>
      <c r="AB22" s="147"/>
      <c r="AC22" s="147"/>
      <c r="AD22" s="147"/>
    </row>
    <row r="23" ht="19.5" customHeight="1">
      <c r="D23">
        <v>1</v>
      </c>
      <c r="E23" t="s">
        <v>176</v>
      </c>
      <c r="M23" s="139"/>
      <c r="Q23" s="140"/>
      <c r="R23" s="140"/>
      <c r="T23" t="s">
        <v>31</v>
      </c>
      <c r="U23" s="140" t="s">
        <v>177</v>
      </c>
      <c r="W23" s="125"/>
      <c r="Y23" s="165"/>
    </row>
    <row r="24" ht="15.75" customHeight="1">
      <c r="D24">
        <v>2</v>
      </c>
      <c r="E24" t="s">
        <v>178</v>
      </c>
      <c r="M24" s="139"/>
      <c r="T24" t="s">
        <v>34</v>
      </c>
      <c r="U24" s="140" t="s">
        <v>179</v>
      </c>
      <c r="W24" s="125"/>
      <c r="X24" s="137"/>
      <c r="Y24" s="137"/>
    </row>
    <row r="25" ht="15.75" customHeight="1">
      <c r="D25">
        <v>3</v>
      </c>
      <c r="E25" t="s">
        <v>180</v>
      </c>
      <c r="T25" t="s">
        <v>37</v>
      </c>
      <c r="U25" s="140" t="s">
        <v>181</v>
      </c>
      <c r="X25" s="137"/>
      <c r="Y25" s="137"/>
    </row>
    <row r="26" ht="22.5" customHeight="1">
      <c r="D26">
        <v>4</v>
      </c>
      <c r="E26" t="s">
        <v>182</v>
      </c>
      <c r="T26" t="s">
        <v>38</v>
      </c>
      <c r="U26" s="140" t="s">
        <v>183</v>
      </c>
      <c r="W26" s="125"/>
      <c r="X26" s="166"/>
      <c r="Y26" s="166"/>
    </row>
    <row r="27" ht="15.75" customHeight="1">
      <c r="D27">
        <v>5</v>
      </c>
      <c r="E27" t="s">
        <v>184</v>
      </c>
    </row>
    <row r="28" ht="15.75" customHeight="1">
      <c r="T28" t="s">
        <v>30</v>
      </c>
      <c r="U28" t="s">
        <v>185</v>
      </c>
      <c r="V28" s="41" t="s">
        <v>186</v>
      </c>
    </row>
    <row r="29" ht="15.75" customHeight="1">
      <c r="T29" t="s">
        <v>187</v>
      </c>
      <c r="U29" t="s">
        <v>188</v>
      </c>
      <c r="V29" s="41" t="s">
        <v>189</v>
      </c>
    </row>
    <row r="30" ht="15.75" customHeight="1">
      <c r="T30" t="s">
        <v>190</v>
      </c>
      <c r="U30" t="s">
        <v>191</v>
      </c>
      <c r="V30" s="41" t="s">
        <v>192</v>
      </c>
    </row>
  </sheetData>
  <mergeCells count="18">
    <mergeCell ref="B1:Z2"/>
    <mergeCell ref="B4:B5"/>
    <mergeCell ref="D4:O4"/>
    <mergeCell ref="Q4:R4"/>
    <mergeCell ref="T4:V4"/>
    <mergeCell ref="X4:Y5"/>
    <mergeCell ref="X7:Y7"/>
    <mergeCell ref="X9:Y9"/>
    <mergeCell ref="X11:Y11"/>
    <mergeCell ref="X12:Y12"/>
    <mergeCell ref="X13:Y13"/>
    <mergeCell ref="X15:Y15"/>
    <mergeCell ref="X16:Y16"/>
    <mergeCell ref="X17:Y17"/>
    <mergeCell ref="X19:Y19"/>
    <mergeCell ref="X24:Y24"/>
    <mergeCell ref="X25:Y25"/>
    <mergeCell ref="X26:Y26"/>
  </mergeCells>
  <conditionalFormatting sqref="X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X25">
    <cfRule type="iconSet" priority="10">
      <iconSet iconSet="3Arrows">
        <cfvo type="percent" val="0"/>
        <cfvo type="percentile" gte="0" val="1"/>
        <cfvo type="percentile" gte="0" val="10"/>
      </iconSet>
    </cfRule>
  </conditionalFormatting>
  <conditionalFormatting sqref="X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greaterThan" id="{B5FF2B80-5E20-47D6-8473-21104AF7085D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V7:V12</xm:sqref>
        </x14:conditionalFormatting>
        <x14:conditionalFormatting xmlns:xm="http://schemas.microsoft.com/office/excel/2006/main">
          <x14:cfRule type="cellIs" priority="13" operator="lessThan" id="{BFE24CBA-81FA-4B88-BE9A-9530624016EC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V7:V12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83ac5af-808f-4749-bf31-860f0b3867d0">FT-2039884291-82</_dlc_DocId>
    <_dlc_DocIdUrl xmlns="383ac5af-808f-4749-bf31-860f0b3867d0">
      <Url>https://ukaeauk.sharepoint.com/sites/FT-TechnicalConsultancy/_layouts/15/DocIdRedir.aspx?ID=FT-2039884291-82</Url>
      <Description>FT-2039884291-82</Description>
    </_dlc_DocIdUrl>
    <Live xmlns="66bb7f02-66c2-4979-b877-17b65b6788c8">Live</Live>
    <Isthisthecurrentversion xmlns="66bb7f02-66c2-4979-b877-17b65b6788c8" xsi:nil="true"/>
    <WON xmlns="66bb7f02-66c2-4979-b877-17b65b6788c8">12570-1022</WON>
    <Funding xmlns="66bb7f02-66c2-4979-b877-17b65b6788c8" xsi:nil="true"/>
    <Documenttype xmlns="66bb7f02-66c2-4979-b877-17b65b6788c8">Cost Sheet</Documenttype>
    <BNumber xmlns="66bb7f02-66c2-4979-b877-17b65b6788c8" xsi:nil="true"/>
    <FTBD_x0023_ xmlns="66bb7f02-66c2-4979-b877-17b65b6788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1DD1725388B4B844DA2F1D5A3BE8A" ma:contentTypeVersion="10" ma:contentTypeDescription="Create a new document." ma:contentTypeScope="" ma:versionID="f9c69393ec4e883ee463b085cda236e8">
  <xsd:schema xmlns:xsd="http://www.w3.org/2001/XMLSchema" xmlns:xs="http://www.w3.org/2001/XMLSchema" xmlns:p="http://schemas.microsoft.com/office/2006/metadata/properties" xmlns:ns2="383ac5af-808f-4749-bf31-860f0b3867d0" xmlns:ns3="66bb7f02-66c2-4979-b877-17b65b6788c8" targetNamespace="http://schemas.microsoft.com/office/2006/metadata/properties" ma:root="true" ma:fieldsID="6be9bdcfbd77b9233d11d53517cb4b9d" ns2:_="" ns3:_="">
    <xsd:import namespace="383ac5af-808f-4749-bf31-860f0b3867d0"/>
    <xsd:import namespace="66bb7f02-66c2-4979-b877-17b65b6788c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WON" minOccurs="0"/>
                <xsd:element ref="ns3:BNumber" minOccurs="0"/>
                <xsd:element ref="ns3:Documenttype" minOccurs="0"/>
                <xsd:element ref="ns3:Isthisthecurrentversion" minOccurs="0"/>
                <xsd:element ref="ns3:Funding" minOccurs="0"/>
                <xsd:element ref="ns3:Li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FTBD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3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ac5af-808f-4749-bf31-860f0b3867d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b7f02-66c2-4979-b877-17b65b6788c8" elementFormDefault="qualified">
    <xsd:import namespace="http://schemas.microsoft.com/office/2006/documentManagement/types"/>
    <xsd:import namespace="http://schemas.microsoft.com/office/infopath/2007/PartnerControls"/>
    <xsd:element name="WON" ma:index="11" nillable="true" ma:displayName="WON" ma:format="Dropdown" ma:internalName="WON">
      <xsd:simpleType>
        <xsd:restriction base="dms:Text">
          <xsd:maxLength value="255"/>
        </xsd:restriction>
      </xsd:simpleType>
    </xsd:element>
    <xsd:element name="BNumber" ma:index="12" nillable="true" ma:displayName="B Number " ma:description="The references used by the BD team" ma:format="Dropdown" ma:internalName="BNumber">
      <xsd:simpleType>
        <xsd:restriction base="dms:Text">
          <xsd:maxLength value="255"/>
        </xsd:restriction>
      </xsd:simpleType>
    </xsd:element>
    <xsd:element name="Documenttype" ma:index="13" nillable="true" ma:displayName="Document type" ma:format="Dropdown" ma:internalName="Documenttype">
      <xsd:simpleType>
        <xsd:restriction base="dms:Choice">
          <xsd:enumeration value="Framework Agreement"/>
          <xsd:enumeration value="Statement of work"/>
          <xsd:enumeration value="Customer Quotation"/>
          <xsd:enumeration value="Supplier Quotation"/>
          <xsd:enumeration value="PM Controls Document"/>
          <xsd:enumeration value="Application / Proposal"/>
          <xsd:enumeration value="Letter"/>
          <xsd:enumeration value="Plan"/>
          <xsd:enumeration value="Cost Sheet"/>
          <xsd:enumeration value="Contract"/>
          <xsd:enumeration value="Collaboration agreement"/>
          <xsd:enumeration value="Purchase Order"/>
          <xsd:enumeration value="Meeting Notes"/>
        </xsd:restriction>
      </xsd:simpleType>
    </xsd:element>
    <xsd:element name="Isthisthecurrentversion" ma:index="14" nillable="true" ma:displayName="Current Version" ma:description="Is this the newest version?" ma:format="Dropdown" ma:internalName="Isthisthecurrentversion">
      <xsd:simpleType>
        <xsd:restriction base="dms:Choice">
          <xsd:enumeration value="No"/>
          <xsd:enumeration value="Yes"/>
        </xsd:restriction>
      </xsd:simpleType>
    </xsd:element>
    <xsd:element name="Funding" ma:index="15" nillable="true" ma:displayName="Funding" ma:format="Dropdown" ma:internalName="Funding">
      <xsd:simpleType>
        <xsd:restriction base="dms:Choice">
          <xsd:enumeration value="Commercial"/>
          <xsd:enumeration value="Grant"/>
          <xsd:enumeration value="FIP"/>
        </xsd:restriction>
      </xsd:simpleType>
    </xsd:element>
    <xsd:element name="Live" ma:index="16" nillable="true" ma:displayName="Live" ma:format="Dropdown" ma:internalName="Live">
      <xsd:simpleType>
        <xsd:restriction base="dms:Choice">
          <xsd:enumeration value="Live"/>
          <xsd:enumeration value="Complete"/>
          <xsd:enumeration value="Archive"/>
        </xsd:restriction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TBD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3_" ma:index="20" nillable="true" ma:displayName="FTBD#" ma:format="Dropdown" ma:internalName="FTBD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3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95C7750F-D3D3-49FF-A092-6736E27067FF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4A520C87-FC6F-4EBC-B925-4D871F9489A8">
  <ds:schemaRefs>
    <ds:schemaRef ds:uri="http://schemas.microsoft.com/office/2006/metadata/properties"/>
    <ds:schemaRef ds:uri="http://schemas.microsoft.com/office/infopath/2007/PartnerControls"/>
    <ds:schemaRef ds:uri="383ac5af-808f-4749-bf31-860f0b3867d0"/>
    <ds:schemaRef ds:uri="66bb7f02-66c2-4979-b877-17b65b6788c8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2B23854F-F96B-48DE-B890-7C8FE7636BC2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ac5af-808f-4749-bf31-860f0b3867d0"/>
    <ds:schemaRef ds:uri="66bb7f02-66c2-4979-b877-17b65b6788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220A36C1-FAD3-4018-B4AD-F405063C5AEE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Harte, Allan</dc:creator>
  <cp:keywords/>
  <dc:description/>
  <cp:revision>6</cp:revision>
  <dcterms:created xsi:type="dcterms:W3CDTF">2025-01-02T11:52:53Z</dcterms:created>
  <dcterms:modified xsi:type="dcterms:W3CDTF">2026-07-23T12:48:36Z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2025-01-02T12:28:08Z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74c47bb8-94d1-4d7b-abcf-9352f6e9b35d</vt:lpwstr>
  </property>
  <property fmtid="{D5CDD505-2E9C-101B-9397-08002B2CF9AE}" pid="8" name="MSIP_Label_22759de7-3255-46b5-8dfe-736652f9c6c1_ContentBits">
    <vt:lpwstr>0</vt:lpwstr>
  </property>
  <property fmtid="{D5CDD505-2E9C-101B-9397-08002B2CF9AE}" pid="9" name="ContentTypeId">
    <vt:lpwstr>0x010100D531DD1725388B4B844DA2F1D5A3BE8A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WON">
    <vt:lpwstr>13253-1015</vt:lpwstr>
  </property>
  <property fmtid="{D5CDD505-2E9C-101B-9397-08002B2CF9AE}" pid="16" name="xd_Signature">
    <vt:bool>false</vt:bool>
  </property>
  <property fmtid="{D5CDD505-2E9C-101B-9397-08002B2CF9AE}" pid="17" name="_dlc_DocIdItemGuid">
    <vt:lpwstr>81280af4-87a2-492c-9c2a-f845dd23a434</vt:lpwstr>
  </property>
</Properties>
</file>